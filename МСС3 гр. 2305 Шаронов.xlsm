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 defaultThemeVersion="124226"/>
  <bookViews>
    <workbookView xWindow="396" yWindow="60" windowWidth="16260" windowHeight="5856"/>
  </bookViews>
  <sheets>
    <sheet name="2Д Неявный" sheetId="3" r:id="rId1"/>
  </sheets>
  <externalReferences>
    <externalReference r:id="rId2"/>
    <externalReference r:id="rId3"/>
  </externalReferences>
  <calcPr calcId="125725"/>
</workbook>
</file>

<file path=xl/calcChain.xml><?xml version="1.0" encoding="utf-8"?>
<calcChain xmlns="http://schemas.openxmlformats.org/spreadsheetml/2006/main">
  <c r="G4" i="3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AO40" l="1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DD42"/>
  <c r="DD43"/>
  <c r="DD46"/>
  <c r="DD50"/>
  <c r="DD51"/>
  <c r="DD52"/>
  <c r="DD53"/>
  <c r="DD54"/>
  <c r="AK104"/>
  <c r="AK103"/>
  <c r="AK102"/>
  <c r="AK101"/>
  <c r="AK100"/>
  <c r="AK99"/>
  <c r="AK98"/>
  <c r="AK97"/>
  <c r="AK96"/>
  <c r="AK95"/>
  <c r="AK94"/>
  <c r="AK93"/>
  <c r="AK92"/>
  <c r="AK91"/>
  <c r="AK90"/>
  <c r="AK89"/>
  <c r="AK88"/>
  <c r="AK87"/>
  <c r="AK86"/>
  <c r="AK85"/>
  <c r="AK84"/>
  <c r="AK83"/>
  <c r="AK82"/>
  <c r="AK81"/>
  <c r="AK80"/>
  <c r="AK79"/>
  <c r="AK78"/>
  <c r="AK77"/>
  <c r="AK76"/>
  <c r="AK75"/>
  <c r="AK74"/>
  <c r="CZ69"/>
  <c r="CZ68"/>
  <c r="CZ67"/>
  <c r="CZ66"/>
  <c r="CZ65"/>
  <c r="CZ64"/>
  <c r="CZ63"/>
  <c r="CZ62"/>
  <c r="CZ61"/>
  <c r="CZ60"/>
  <c r="CZ59"/>
  <c r="CZ58"/>
  <c r="CZ57"/>
  <c r="CZ56"/>
  <c r="CZ55"/>
  <c r="CZ54"/>
  <c r="CZ53"/>
  <c r="CZ52"/>
  <c r="CZ51"/>
  <c r="CZ50"/>
  <c r="CZ49"/>
  <c r="CZ48"/>
  <c r="CZ47"/>
  <c r="CZ46"/>
  <c r="CZ45"/>
  <c r="CZ44"/>
  <c r="CZ43"/>
  <c r="CZ42"/>
  <c r="CZ41"/>
  <c r="CZ40"/>
  <c r="CZ39"/>
  <c r="AK69"/>
  <c r="BR104" s="1"/>
  <c r="AK68"/>
  <c r="BR103" s="1"/>
  <c r="AK67"/>
  <c r="BR102" s="1"/>
  <c r="AK66"/>
  <c r="BR101" s="1"/>
  <c r="AK65"/>
  <c r="BR100" s="1"/>
  <c r="AK64"/>
  <c r="BR99" s="1"/>
  <c r="AK63"/>
  <c r="BR98" s="1"/>
  <c r="AK62"/>
  <c r="BR97" s="1"/>
  <c r="AK61"/>
  <c r="BR96" s="1"/>
  <c r="AK60"/>
  <c r="BR95" s="1"/>
  <c r="AK59"/>
  <c r="BR94" s="1"/>
  <c r="AK58"/>
  <c r="BR93" s="1"/>
  <c r="AK57"/>
  <c r="BR92" s="1"/>
  <c r="AK56"/>
  <c r="BR91" s="1"/>
  <c r="AK55"/>
  <c r="BR90" s="1"/>
  <c r="AK54"/>
  <c r="BR89" s="1"/>
  <c r="AK53"/>
  <c r="BR88" s="1"/>
  <c r="AK52"/>
  <c r="BR87" s="1"/>
  <c r="AK51"/>
  <c r="BR86" s="1"/>
  <c r="AK50"/>
  <c r="BR85" s="1"/>
  <c r="AK49"/>
  <c r="BR84" s="1"/>
  <c r="AK48"/>
  <c r="BR83" s="1"/>
  <c r="AK47"/>
  <c r="BR82" s="1"/>
  <c r="AK46"/>
  <c r="BR81" s="1"/>
  <c r="AK45"/>
  <c r="BR80" s="1"/>
  <c r="AK44"/>
  <c r="BR79" s="1"/>
  <c r="AK43"/>
  <c r="BR78" s="1"/>
  <c r="AK42"/>
  <c r="BR77" s="1"/>
  <c r="AK41"/>
  <c r="BR76" s="1"/>
  <c r="AK40"/>
  <c r="BR75" s="1"/>
  <c r="AK39"/>
  <c r="BR74" s="1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69"/>
  <c r="AN104" s="1"/>
  <c r="G68"/>
  <c r="AN103" s="1"/>
  <c r="G67"/>
  <c r="AN102" s="1"/>
  <c r="G66"/>
  <c r="AN101" s="1"/>
  <c r="G65"/>
  <c r="AN100" s="1"/>
  <c r="G64"/>
  <c r="AN99" s="1"/>
  <c r="G63"/>
  <c r="AN98" s="1"/>
  <c r="G62"/>
  <c r="AN97" s="1"/>
  <c r="G61"/>
  <c r="AN96" s="1"/>
  <c r="G60"/>
  <c r="AN95" s="1"/>
  <c r="G59"/>
  <c r="AN94" s="1"/>
  <c r="G58"/>
  <c r="AN93" s="1"/>
  <c r="G57"/>
  <c r="AN92" s="1"/>
  <c r="G56"/>
  <c r="AN91" s="1"/>
  <c r="G55"/>
  <c r="AN90" s="1"/>
  <c r="G54"/>
  <c r="AN89" s="1"/>
  <c r="G53"/>
  <c r="AN88" s="1"/>
  <c r="G52"/>
  <c r="AN87" s="1"/>
  <c r="G51"/>
  <c r="AN86" s="1"/>
  <c r="G50"/>
  <c r="AN85" s="1"/>
  <c r="G49"/>
  <c r="AN84" s="1"/>
  <c r="G48"/>
  <c r="AN83" s="1"/>
  <c r="G47"/>
  <c r="AN82" s="1"/>
  <c r="G46"/>
  <c r="AN81" s="1"/>
  <c r="G45"/>
  <c r="AN80" s="1"/>
  <c r="G44"/>
  <c r="AN79" s="1"/>
  <c r="G43"/>
  <c r="AN78" s="1"/>
  <c r="G42"/>
  <c r="AN77" s="1"/>
  <c r="G41"/>
  <c r="AN76" s="1"/>
  <c r="G40"/>
  <c r="AN75" s="1"/>
  <c r="G39"/>
  <c r="AN74" s="1"/>
  <c r="AN40"/>
  <c r="DD41"/>
  <c r="AN44"/>
  <c r="DD45"/>
  <c r="AN47"/>
  <c r="AN48"/>
  <c r="DD49"/>
  <c r="AN55"/>
  <c r="AN56"/>
  <c r="DD57"/>
  <c r="AN58"/>
  <c r="AN59"/>
  <c r="AN60"/>
  <c r="DD61"/>
  <c r="AN62"/>
  <c r="AN63"/>
  <c r="AN64"/>
  <c r="DD65"/>
  <c r="AN66"/>
  <c r="AN67"/>
  <c r="AN68"/>
  <c r="DD69"/>
  <c r="AK4"/>
  <c r="BR40" s="1"/>
  <c r="AK5"/>
  <c r="BR41" s="1"/>
  <c r="AK6"/>
  <c r="BR42" s="1"/>
  <c r="AK7"/>
  <c r="BR43" s="1"/>
  <c r="AK8"/>
  <c r="BR44" s="1"/>
  <c r="AK9"/>
  <c r="BR45" s="1"/>
  <c r="AK10"/>
  <c r="BR46" s="1"/>
  <c r="AK11"/>
  <c r="BR47" s="1"/>
  <c r="AK12"/>
  <c r="BR48" s="1"/>
  <c r="AK13"/>
  <c r="BR49" s="1"/>
  <c r="AK14"/>
  <c r="BR50" s="1"/>
  <c r="AK15"/>
  <c r="BR51" s="1"/>
  <c r="AK16"/>
  <c r="BR52" s="1"/>
  <c r="AK17"/>
  <c r="BR53" s="1"/>
  <c r="AK18"/>
  <c r="BR54" s="1"/>
  <c r="AK19"/>
  <c r="BR55" s="1"/>
  <c r="AK20"/>
  <c r="BR56" s="1"/>
  <c r="AK21"/>
  <c r="BR57" s="1"/>
  <c r="AK22"/>
  <c r="BR58" s="1"/>
  <c r="AK23"/>
  <c r="BR59" s="1"/>
  <c r="AK24"/>
  <c r="BR60" s="1"/>
  <c r="AK25"/>
  <c r="BR61" s="1"/>
  <c r="AK26"/>
  <c r="BR62" s="1"/>
  <c r="AK27"/>
  <c r="BR63" s="1"/>
  <c r="AK28"/>
  <c r="BR64" s="1"/>
  <c r="AK29"/>
  <c r="BR65" s="1"/>
  <c r="AK30"/>
  <c r="BR66" s="1"/>
  <c r="AK31"/>
  <c r="BR67" s="1"/>
  <c r="AK32"/>
  <c r="BR68" s="1"/>
  <c r="AK33"/>
  <c r="BR69" s="1"/>
  <c r="AK3"/>
  <c r="BR39" s="1"/>
  <c r="G3"/>
  <c r="DD39" s="1"/>
  <c r="B6"/>
  <c r="B26" s="1"/>
  <c r="B5"/>
  <c r="L34" s="1"/>
  <c r="F29" l="1"/>
  <c r="F30"/>
  <c r="F18"/>
  <c r="F14"/>
  <c r="F10"/>
  <c r="F6"/>
  <c r="H2"/>
  <c r="AH2"/>
  <c r="AD2"/>
  <c r="Z2"/>
  <c r="V2"/>
  <c r="R2"/>
  <c r="N2"/>
  <c r="J2"/>
  <c r="AL3"/>
  <c r="AL30"/>
  <c r="AL26"/>
  <c r="AL22"/>
  <c r="AL18"/>
  <c r="AL14"/>
  <c r="AL10"/>
  <c r="AL6"/>
  <c r="AK34"/>
  <c r="AG34"/>
  <c r="AC34"/>
  <c r="Y34"/>
  <c r="U34"/>
  <c r="Q34"/>
  <c r="M34"/>
  <c r="I34"/>
  <c r="B21"/>
  <c r="DD67"/>
  <c r="DD63"/>
  <c r="DD59"/>
  <c r="DD55"/>
  <c r="DD47"/>
  <c r="AN69"/>
  <c r="AN65"/>
  <c r="AN61"/>
  <c r="AN57"/>
  <c r="AN49"/>
  <c r="AN45"/>
  <c r="AN41"/>
  <c r="F21"/>
  <c r="F26"/>
  <c r="F31"/>
  <c r="F19"/>
  <c r="F7"/>
  <c r="AE2"/>
  <c r="W2"/>
  <c r="K2"/>
  <c r="AL31"/>
  <c r="AL23"/>
  <c r="AL11"/>
  <c r="AH34"/>
  <c r="V34"/>
  <c r="N34"/>
  <c r="DD68"/>
  <c r="DD64"/>
  <c r="DD60"/>
  <c r="DD56"/>
  <c r="DD48"/>
  <c r="DD44"/>
  <c r="DD40"/>
  <c r="AN39"/>
  <c r="F22"/>
  <c r="F27"/>
  <c r="F23"/>
  <c r="F15"/>
  <c r="F11"/>
  <c r="F3"/>
  <c r="AI2"/>
  <c r="AA2"/>
  <c r="S2"/>
  <c r="O2"/>
  <c r="AL27"/>
  <c r="AL19"/>
  <c r="AL15"/>
  <c r="AL7"/>
  <c r="H34"/>
  <c r="AD34"/>
  <c r="Z34"/>
  <c r="R34"/>
  <c r="J34"/>
  <c r="B25"/>
  <c r="B27" s="1"/>
  <c r="F32"/>
  <c r="F28"/>
  <c r="F24"/>
  <c r="F20"/>
  <c r="F16"/>
  <c r="F12"/>
  <c r="F8"/>
  <c r="F4"/>
  <c r="AJ2"/>
  <c r="AF2"/>
  <c r="AB2"/>
  <c r="X2"/>
  <c r="T2"/>
  <c r="P2"/>
  <c r="L2"/>
  <c r="AL32"/>
  <c r="AL28"/>
  <c r="AL24"/>
  <c r="AL20"/>
  <c r="AL16"/>
  <c r="AL12"/>
  <c r="AL8"/>
  <c r="AL4"/>
  <c r="AI34"/>
  <c r="AE34"/>
  <c r="AA34"/>
  <c r="W34"/>
  <c r="S34"/>
  <c r="O34"/>
  <c r="K34"/>
  <c r="B20"/>
  <c r="F25"/>
  <c r="F17"/>
  <c r="F13"/>
  <c r="F9"/>
  <c r="F5"/>
  <c r="AK2"/>
  <c r="AG2"/>
  <c r="AC2"/>
  <c r="Y2"/>
  <c r="U2"/>
  <c r="Q2"/>
  <c r="M2"/>
  <c r="I2"/>
  <c r="AL33"/>
  <c r="AL29"/>
  <c r="AL25"/>
  <c r="AL21"/>
  <c r="AL17"/>
  <c r="AL13"/>
  <c r="AL9"/>
  <c r="AL5"/>
  <c r="AJ34"/>
  <c r="AF34"/>
  <c r="AB34"/>
  <c r="X34"/>
  <c r="T34"/>
  <c r="P34"/>
  <c r="DD66"/>
  <c r="DD62"/>
  <c r="DD58"/>
  <c r="DE62" l="1"/>
  <c r="CW103"/>
  <c r="CW102" s="1"/>
  <c r="CW101" s="1"/>
  <c r="CW100" s="1"/>
  <c r="CW99" s="1"/>
  <c r="CW98" s="1"/>
  <c r="CW97" s="1"/>
  <c r="CW96" s="1"/>
  <c r="CW95" s="1"/>
  <c r="CW94" s="1"/>
  <c r="CW93" s="1"/>
  <c r="CW92" s="1"/>
  <c r="CW91" s="1"/>
  <c r="CW90" s="1"/>
  <c r="CW89" s="1"/>
  <c r="CW88" s="1"/>
  <c r="CW87" s="1"/>
  <c r="CW86" s="1"/>
  <c r="CW85" s="1"/>
  <c r="CW84" s="1"/>
  <c r="CW83" s="1"/>
  <c r="CW82" s="1"/>
  <c r="CW81" s="1"/>
  <c r="CW80" s="1"/>
  <c r="CW79" s="1"/>
  <c r="CW78" s="1"/>
  <c r="CW77" s="1"/>
  <c r="CW76" s="1"/>
  <c r="CW75" s="1"/>
  <c r="CW74" s="1"/>
  <c r="CB103"/>
  <c r="CB102" s="1"/>
  <c r="CB101" s="1"/>
  <c r="CB100" s="1"/>
  <c r="CB99" s="1"/>
  <c r="CB98" s="1"/>
  <c r="CB97" s="1"/>
  <c r="CB96" s="1"/>
  <c r="CB95" s="1"/>
  <c r="CB94" s="1"/>
  <c r="CB93" s="1"/>
  <c r="CB92" s="1"/>
  <c r="CB91" s="1"/>
  <c r="CB90" s="1"/>
  <c r="CB89" s="1"/>
  <c r="CB88" s="1"/>
  <c r="CB87" s="1"/>
  <c r="CB86" s="1"/>
  <c r="CB85" s="1"/>
  <c r="CB84" s="1"/>
  <c r="CB83" s="1"/>
  <c r="CB82" s="1"/>
  <c r="CB81" s="1"/>
  <c r="CB80" s="1"/>
  <c r="CB79" s="1"/>
  <c r="CB78" s="1"/>
  <c r="CB77" s="1"/>
  <c r="CB76" s="1"/>
  <c r="CB75" s="1"/>
  <c r="CB74" s="1"/>
  <c r="BW53"/>
  <c r="BX53" s="1"/>
  <c r="BY53" s="1"/>
  <c r="BZ53" s="1"/>
  <c r="CA53" s="1"/>
  <c r="CB53" s="1"/>
  <c r="CC53" s="1"/>
  <c r="CD53" s="1"/>
  <c r="CE53" s="1"/>
  <c r="CF53" s="1"/>
  <c r="CG53" s="1"/>
  <c r="CH53" s="1"/>
  <c r="CI53" s="1"/>
  <c r="CJ53" s="1"/>
  <c r="CK53" s="1"/>
  <c r="CL53" s="1"/>
  <c r="CM53" s="1"/>
  <c r="CN53" s="1"/>
  <c r="CO53" s="1"/>
  <c r="CP53" s="1"/>
  <c r="CQ53" s="1"/>
  <c r="CR53" s="1"/>
  <c r="CS53" s="1"/>
  <c r="CT53" s="1"/>
  <c r="CU53" s="1"/>
  <c r="CV53" s="1"/>
  <c r="CW53" s="1"/>
  <c r="CX53" s="1"/>
  <c r="BW65"/>
  <c r="BX65" s="1"/>
  <c r="BW67"/>
  <c r="BX67" s="1"/>
  <c r="BY67" s="1"/>
  <c r="BZ67" s="1"/>
  <c r="CA67" s="1"/>
  <c r="CB67" s="1"/>
  <c r="CC67" s="1"/>
  <c r="CD67" s="1"/>
  <c r="CE67" s="1"/>
  <c r="CF67" s="1"/>
  <c r="CG67" s="1"/>
  <c r="CH67" s="1"/>
  <c r="CI67" s="1"/>
  <c r="CJ67" s="1"/>
  <c r="CK67" s="1"/>
  <c r="CL67" s="1"/>
  <c r="CM67" s="1"/>
  <c r="CN67" s="1"/>
  <c r="CO67" s="1"/>
  <c r="CP67" s="1"/>
  <c r="CQ67" s="1"/>
  <c r="CR67" s="1"/>
  <c r="B22"/>
  <c r="DE64" s="1"/>
  <c r="BX103"/>
  <c r="BX102" s="1"/>
  <c r="BX101" s="1"/>
  <c r="BX100" s="1"/>
  <c r="BX99" s="1"/>
  <c r="BX98" s="1"/>
  <c r="BX97" s="1"/>
  <c r="BX96" s="1"/>
  <c r="BX95" s="1"/>
  <c r="BX94" s="1"/>
  <c r="BX93" s="1"/>
  <c r="BX92" s="1"/>
  <c r="BX91" s="1"/>
  <c r="BX90" s="1"/>
  <c r="BX89" s="1"/>
  <c r="BX88" s="1"/>
  <c r="BX87" s="1"/>
  <c r="BX86" s="1"/>
  <c r="BX85" s="1"/>
  <c r="BX84" s="1"/>
  <c r="BX83" s="1"/>
  <c r="BX82" s="1"/>
  <c r="BX81" s="1"/>
  <c r="BX80" s="1"/>
  <c r="BX79" s="1"/>
  <c r="BX78" s="1"/>
  <c r="BX77" s="1"/>
  <c r="BX76" s="1"/>
  <c r="BX75" s="1"/>
  <c r="BX74" s="1"/>
  <c r="CF103"/>
  <c r="CN103"/>
  <c r="CN102" s="1"/>
  <c r="CN101" s="1"/>
  <c r="CN100" s="1"/>
  <c r="CN99" s="1"/>
  <c r="CN98" s="1"/>
  <c r="CN97" s="1"/>
  <c r="CN96" s="1"/>
  <c r="CN95" s="1"/>
  <c r="CN94" s="1"/>
  <c r="CN93" s="1"/>
  <c r="CN92" s="1"/>
  <c r="CN91" s="1"/>
  <c r="CN90" s="1"/>
  <c r="CN89" s="1"/>
  <c r="CN88" s="1"/>
  <c r="CN87" s="1"/>
  <c r="CN86" s="1"/>
  <c r="CN85" s="1"/>
  <c r="CN84" s="1"/>
  <c r="CN83" s="1"/>
  <c r="CN82" s="1"/>
  <c r="CN81" s="1"/>
  <c r="CN80" s="1"/>
  <c r="CN79" s="1"/>
  <c r="CN78" s="1"/>
  <c r="CN77" s="1"/>
  <c r="CN76" s="1"/>
  <c r="CN75" s="1"/>
  <c r="CN74" s="1"/>
  <c r="CV103"/>
  <c r="BZ103"/>
  <c r="BZ102" s="1"/>
  <c r="BZ101" s="1"/>
  <c r="BZ100" s="1"/>
  <c r="BZ99" s="1"/>
  <c r="BZ98" s="1"/>
  <c r="BZ97" s="1"/>
  <c r="BZ96" s="1"/>
  <c r="BZ95" s="1"/>
  <c r="BZ94" s="1"/>
  <c r="BZ93" s="1"/>
  <c r="BZ92" s="1"/>
  <c r="BZ91" s="1"/>
  <c r="BZ90" s="1"/>
  <c r="BZ89" s="1"/>
  <c r="BZ88" s="1"/>
  <c r="BZ87" s="1"/>
  <c r="BZ86" s="1"/>
  <c r="BZ85" s="1"/>
  <c r="BZ84" s="1"/>
  <c r="BZ83" s="1"/>
  <c r="BZ82" s="1"/>
  <c r="BZ81" s="1"/>
  <c r="BZ80" s="1"/>
  <c r="BZ79" s="1"/>
  <c r="BZ78" s="1"/>
  <c r="BZ77" s="1"/>
  <c r="BZ76" s="1"/>
  <c r="BZ75" s="1"/>
  <c r="BZ74" s="1"/>
  <c r="CH103"/>
  <c r="CH102" s="1"/>
  <c r="CH101" s="1"/>
  <c r="CH100" s="1"/>
  <c r="CH99" s="1"/>
  <c r="CH98" s="1"/>
  <c r="CH97" s="1"/>
  <c r="CH96" s="1"/>
  <c r="CH95" s="1"/>
  <c r="CH94" s="1"/>
  <c r="CH93" s="1"/>
  <c r="CH92" s="1"/>
  <c r="CH91" s="1"/>
  <c r="CH90" s="1"/>
  <c r="CH89" s="1"/>
  <c r="CH88" s="1"/>
  <c r="CH87" s="1"/>
  <c r="CH86" s="1"/>
  <c r="CH85" s="1"/>
  <c r="CH84" s="1"/>
  <c r="CH83" s="1"/>
  <c r="CH82" s="1"/>
  <c r="CH81" s="1"/>
  <c r="CH80" s="1"/>
  <c r="CH79" s="1"/>
  <c r="CH78" s="1"/>
  <c r="CH77" s="1"/>
  <c r="CH76" s="1"/>
  <c r="CH75" s="1"/>
  <c r="CH74" s="1"/>
  <c r="CP103"/>
  <c r="CP102" s="1"/>
  <c r="CP101" s="1"/>
  <c r="CP100" s="1"/>
  <c r="CP99" s="1"/>
  <c r="CP98" s="1"/>
  <c r="CP97" s="1"/>
  <c r="CP96" s="1"/>
  <c r="CP95" s="1"/>
  <c r="CP94" s="1"/>
  <c r="CP93" s="1"/>
  <c r="CP92" s="1"/>
  <c r="CP91" s="1"/>
  <c r="CP90" s="1"/>
  <c r="CP89" s="1"/>
  <c r="CP88" s="1"/>
  <c r="CP87" s="1"/>
  <c r="CP86" s="1"/>
  <c r="CP85" s="1"/>
  <c r="CP84" s="1"/>
  <c r="CP83" s="1"/>
  <c r="CP82" s="1"/>
  <c r="CP81" s="1"/>
  <c r="CP80" s="1"/>
  <c r="CP79" s="1"/>
  <c r="CP78" s="1"/>
  <c r="CP77" s="1"/>
  <c r="CP76" s="1"/>
  <c r="CP75" s="1"/>
  <c r="CP74" s="1"/>
  <c r="CX103"/>
  <c r="CX102" s="1"/>
  <c r="CX101" s="1"/>
  <c r="CX100" s="1"/>
  <c r="CX99" s="1"/>
  <c r="CX98" s="1"/>
  <c r="CX97" s="1"/>
  <c r="CX96" s="1"/>
  <c r="CX95" s="1"/>
  <c r="CX94" s="1"/>
  <c r="CX93" s="1"/>
  <c r="CX92" s="1"/>
  <c r="CX91" s="1"/>
  <c r="CX90" s="1"/>
  <c r="CX89" s="1"/>
  <c r="CX88" s="1"/>
  <c r="CX87" s="1"/>
  <c r="CX86" s="1"/>
  <c r="CX85" s="1"/>
  <c r="CX84" s="1"/>
  <c r="CX83" s="1"/>
  <c r="CX82" s="1"/>
  <c r="CX81" s="1"/>
  <c r="CX80" s="1"/>
  <c r="CX79" s="1"/>
  <c r="CX78" s="1"/>
  <c r="CX77" s="1"/>
  <c r="CX76" s="1"/>
  <c r="CX75" s="1"/>
  <c r="CX74" s="1"/>
  <c r="BW42"/>
  <c r="BX42" s="1"/>
  <c r="BY42" s="1"/>
  <c r="BZ42" s="1"/>
  <c r="CA42" s="1"/>
  <c r="CB42" s="1"/>
  <c r="CC42" s="1"/>
  <c r="CD42" s="1"/>
  <c r="CE42" s="1"/>
  <c r="CF42" s="1"/>
  <c r="CG42" s="1"/>
  <c r="CH42" s="1"/>
  <c r="CI42" s="1"/>
  <c r="CJ42" s="1"/>
  <c r="CK42" s="1"/>
  <c r="CL42" s="1"/>
  <c r="CM42" s="1"/>
  <c r="CN42" s="1"/>
  <c r="CO42" s="1"/>
  <c r="CP42" s="1"/>
  <c r="CQ42" s="1"/>
  <c r="CR42" s="1"/>
  <c r="CS42" s="1"/>
  <c r="CT42" s="1"/>
  <c r="CU42" s="1"/>
  <c r="CV42" s="1"/>
  <c r="CW42" s="1"/>
  <c r="CX42" s="1"/>
  <c r="CY42" s="1"/>
  <c r="BW45"/>
  <c r="BX45" s="1"/>
  <c r="BY45" s="1"/>
  <c r="BZ45" s="1"/>
  <c r="CA45" s="1"/>
  <c r="CB45" s="1"/>
  <c r="CC45" s="1"/>
  <c r="CD45" s="1"/>
  <c r="CE45" s="1"/>
  <c r="CF45" s="1"/>
  <c r="CG45" s="1"/>
  <c r="CH45" s="1"/>
  <c r="CI45" s="1"/>
  <c r="CJ45" s="1"/>
  <c r="CK45" s="1"/>
  <c r="CL45" s="1"/>
  <c r="CM45" s="1"/>
  <c r="CN45" s="1"/>
  <c r="CO45" s="1"/>
  <c r="CP45" s="1"/>
  <c r="CQ45" s="1"/>
  <c r="CR45" s="1"/>
  <c r="CS45" s="1"/>
  <c r="CT45" s="1"/>
  <c r="CU45" s="1"/>
  <c r="CV45" s="1"/>
  <c r="CW45" s="1"/>
  <c r="CX45" s="1"/>
  <c r="CY45" s="1"/>
  <c r="BW48"/>
  <c r="BX48" s="1"/>
  <c r="BY48" s="1"/>
  <c r="BZ48" s="1"/>
  <c r="CA48" s="1"/>
  <c r="CB48" s="1"/>
  <c r="CC48" s="1"/>
  <c r="CD48" s="1"/>
  <c r="CE48" s="1"/>
  <c r="CF48" s="1"/>
  <c r="CG48" s="1"/>
  <c r="CH48" s="1"/>
  <c r="CI48" s="1"/>
  <c r="CJ48" s="1"/>
  <c r="CK48" s="1"/>
  <c r="CL48" s="1"/>
  <c r="BW52"/>
  <c r="BX52" s="1"/>
  <c r="BY52" s="1"/>
  <c r="BZ52" s="1"/>
  <c r="CA52" s="1"/>
  <c r="CB52" s="1"/>
  <c r="CC52" s="1"/>
  <c r="CD52" s="1"/>
  <c r="CE52" s="1"/>
  <c r="CF52" s="1"/>
  <c r="CG52" s="1"/>
  <c r="CH52" s="1"/>
  <c r="CI52" s="1"/>
  <c r="CJ52" s="1"/>
  <c r="CK52" s="1"/>
  <c r="CL52" s="1"/>
  <c r="CM52" s="1"/>
  <c r="CN52" s="1"/>
  <c r="CO52" s="1"/>
  <c r="CP52" s="1"/>
  <c r="CQ52" s="1"/>
  <c r="CR52" s="1"/>
  <c r="CS52" s="1"/>
  <c r="CT52" s="1"/>
  <c r="CU52" s="1"/>
  <c r="CV52" s="1"/>
  <c r="CW52" s="1"/>
  <c r="CX52" s="1"/>
  <c r="BW56"/>
  <c r="BX56" s="1"/>
  <c r="BY56" s="1"/>
  <c r="BZ56" s="1"/>
  <c r="CA56" s="1"/>
  <c r="CB56" s="1"/>
  <c r="CC56" s="1"/>
  <c r="CD56" s="1"/>
  <c r="CE56" s="1"/>
  <c r="CF56" s="1"/>
  <c r="CG56" s="1"/>
  <c r="CH56" s="1"/>
  <c r="CI56" s="1"/>
  <c r="CJ56" s="1"/>
  <c r="CK56" s="1"/>
  <c r="CL56" s="1"/>
  <c r="CM56" s="1"/>
  <c r="CN56" s="1"/>
  <c r="CO56" s="1"/>
  <c r="CP56" s="1"/>
  <c r="CQ56" s="1"/>
  <c r="CR56" s="1"/>
  <c r="CS56" s="1"/>
  <c r="CT56" s="1"/>
  <c r="CU56" s="1"/>
  <c r="CV56" s="1"/>
  <c r="CW56" s="1"/>
  <c r="CX56" s="1"/>
  <c r="CY56" s="1"/>
  <c r="BW59"/>
  <c r="BX59" s="1"/>
  <c r="BY59" s="1"/>
  <c r="BZ59" s="1"/>
  <c r="CA59" s="1"/>
  <c r="CB59" s="1"/>
  <c r="CC59" s="1"/>
  <c r="CD59" s="1"/>
  <c r="CE59" s="1"/>
  <c r="CF59" s="1"/>
  <c r="CG59" s="1"/>
  <c r="CH59" s="1"/>
  <c r="CI59" s="1"/>
  <c r="CJ59" s="1"/>
  <c r="CK59" s="1"/>
  <c r="CL59" s="1"/>
  <c r="CM59" s="1"/>
  <c r="CN59" s="1"/>
  <c r="CO59" s="1"/>
  <c r="CP59" s="1"/>
  <c r="CQ59" s="1"/>
  <c r="CR59" s="1"/>
  <c r="CS59" s="1"/>
  <c r="CT59" s="1"/>
  <c r="CU59" s="1"/>
  <c r="CV59" s="1"/>
  <c r="BW64"/>
  <c r="BX64" s="1"/>
  <c r="BY64" s="1"/>
  <c r="BZ64" s="1"/>
  <c r="CA64" s="1"/>
  <c r="CB64" s="1"/>
  <c r="CC64" s="1"/>
  <c r="CD64" s="1"/>
  <c r="CE64" s="1"/>
  <c r="CF64" s="1"/>
  <c r="CG64" s="1"/>
  <c r="CH64" s="1"/>
  <c r="CI64" s="1"/>
  <c r="CJ64" s="1"/>
  <c r="CK64" s="1"/>
  <c r="CL64" s="1"/>
  <c r="CM64" s="1"/>
  <c r="CN64" s="1"/>
  <c r="CO64" s="1"/>
  <c r="CP64" s="1"/>
  <c r="CQ64" s="1"/>
  <c r="CR64" s="1"/>
  <c r="CS64" s="1"/>
  <c r="CT64" s="1"/>
  <c r="CU64" s="1"/>
  <c r="CV64" s="1"/>
  <c r="CW64" s="1"/>
  <c r="CX64" s="1"/>
  <c r="CY64" s="1"/>
  <c r="BW66"/>
  <c r="BX66" s="1"/>
  <c r="BY66" s="1"/>
  <c r="BZ66" s="1"/>
  <c r="CA66" s="1"/>
  <c r="CB66" s="1"/>
  <c r="CC66" s="1"/>
  <c r="CD66" s="1"/>
  <c r="CE66" s="1"/>
  <c r="CF66" s="1"/>
  <c r="CG66" s="1"/>
  <c r="CH66" s="1"/>
  <c r="CI66" s="1"/>
  <c r="CJ66" s="1"/>
  <c r="CK66" s="1"/>
  <c r="CL66" s="1"/>
  <c r="CM66" s="1"/>
  <c r="CN66" s="1"/>
  <c r="CO66" s="1"/>
  <c r="CP66" s="1"/>
  <c r="CQ66" s="1"/>
  <c r="CR66" s="1"/>
  <c r="CS66" s="1"/>
  <c r="CT66" s="1"/>
  <c r="CU66" s="1"/>
  <c r="CV66" s="1"/>
  <c r="CW66" s="1"/>
  <c r="BW103"/>
  <c r="BW102" s="1"/>
  <c r="BW101" s="1"/>
  <c r="BW100" s="1"/>
  <c r="BW99" s="1"/>
  <c r="BW98" s="1"/>
  <c r="BW97" s="1"/>
  <c r="BW96" s="1"/>
  <c r="BW95" s="1"/>
  <c r="BW94" s="1"/>
  <c r="BW93" s="1"/>
  <c r="BW92" s="1"/>
  <c r="BW91" s="1"/>
  <c r="BW90" s="1"/>
  <c r="BW89" s="1"/>
  <c r="BW88" s="1"/>
  <c r="BW87" s="1"/>
  <c r="BW86" s="1"/>
  <c r="BW85" s="1"/>
  <c r="BW84" s="1"/>
  <c r="BW83" s="1"/>
  <c r="BW82" s="1"/>
  <c r="BW81" s="1"/>
  <c r="BW80" s="1"/>
  <c r="BW79" s="1"/>
  <c r="BW78" s="1"/>
  <c r="BW77" s="1"/>
  <c r="BW76" s="1"/>
  <c r="BW75" s="1"/>
  <c r="BW74" s="1"/>
  <c r="CE103"/>
  <c r="CE102" s="1"/>
  <c r="CE101" s="1"/>
  <c r="CE100" s="1"/>
  <c r="CE99" s="1"/>
  <c r="CE98" s="1"/>
  <c r="CE97" s="1"/>
  <c r="CE96" s="1"/>
  <c r="CE95" s="1"/>
  <c r="CE94" s="1"/>
  <c r="CE93" s="1"/>
  <c r="CE92" s="1"/>
  <c r="CE91" s="1"/>
  <c r="CE90" s="1"/>
  <c r="CE89" s="1"/>
  <c r="CE88" s="1"/>
  <c r="CE87" s="1"/>
  <c r="CE86" s="1"/>
  <c r="CE85" s="1"/>
  <c r="CE84" s="1"/>
  <c r="CE83" s="1"/>
  <c r="CE82" s="1"/>
  <c r="CE81" s="1"/>
  <c r="CE80" s="1"/>
  <c r="CE79" s="1"/>
  <c r="CE78" s="1"/>
  <c r="CE77" s="1"/>
  <c r="CE76" s="1"/>
  <c r="CE75" s="1"/>
  <c r="CE74" s="1"/>
  <c r="CM103"/>
  <c r="CM102" s="1"/>
  <c r="CM101" s="1"/>
  <c r="CM100" s="1"/>
  <c r="CM99" s="1"/>
  <c r="CM98" s="1"/>
  <c r="CM97" s="1"/>
  <c r="CM96" s="1"/>
  <c r="CM95" s="1"/>
  <c r="CM94" s="1"/>
  <c r="CM93" s="1"/>
  <c r="CM92" s="1"/>
  <c r="CM91" s="1"/>
  <c r="CM90" s="1"/>
  <c r="CM89" s="1"/>
  <c r="CM88" s="1"/>
  <c r="CM87" s="1"/>
  <c r="CM86" s="1"/>
  <c r="CM85" s="1"/>
  <c r="CM84" s="1"/>
  <c r="CM83" s="1"/>
  <c r="CM82" s="1"/>
  <c r="CM81" s="1"/>
  <c r="CM80" s="1"/>
  <c r="CM79" s="1"/>
  <c r="CM78" s="1"/>
  <c r="CM77" s="1"/>
  <c r="CM76" s="1"/>
  <c r="CM75" s="1"/>
  <c r="CM74" s="1"/>
  <c r="CU103"/>
  <c r="CU102" s="1"/>
  <c r="CU101" s="1"/>
  <c r="CU100" s="1"/>
  <c r="CU99" s="1"/>
  <c r="CU98" s="1"/>
  <c r="CU97" s="1"/>
  <c r="CU96" s="1"/>
  <c r="CU95" s="1"/>
  <c r="CU94" s="1"/>
  <c r="CU93" s="1"/>
  <c r="CU92" s="1"/>
  <c r="CU91" s="1"/>
  <c r="CU90" s="1"/>
  <c r="CU89" s="1"/>
  <c r="CU88" s="1"/>
  <c r="CU87" s="1"/>
  <c r="CU86" s="1"/>
  <c r="CU85" s="1"/>
  <c r="CU84" s="1"/>
  <c r="CU83" s="1"/>
  <c r="CU82" s="1"/>
  <c r="CU81" s="1"/>
  <c r="CU80" s="1"/>
  <c r="CU79" s="1"/>
  <c r="CU78" s="1"/>
  <c r="CU77" s="1"/>
  <c r="CU76" s="1"/>
  <c r="CU75" s="1"/>
  <c r="CU74" s="1"/>
  <c r="BV103"/>
  <c r="BV102" s="1"/>
  <c r="BV101" s="1"/>
  <c r="BV100" s="1"/>
  <c r="BV99" s="1"/>
  <c r="BV98" s="1"/>
  <c r="BV97" s="1"/>
  <c r="BV96" s="1"/>
  <c r="BV95" s="1"/>
  <c r="BV94" s="1"/>
  <c r="BV93" s="1"/>
  <c r="BV92" s="1"/>
  <c r="BV91" s="1"/>
  <c r="BV90" s="1"/>
  <c r="BV89" s="1"/>
  <c r="BV88" s="1"/>
  <c r="BV87" s="1"/>
  <c r="BV86" s="1"/>
  <c r="BV85" s="1"/>
  <c r="BV84" s="1"/>
  <c r="BV83" s="1"/>
  <c r="BV82" s="1"/>
  <c r="BV81" s="1"/>
  <c r="BV80" s="1"/>
  <c r="BV79" s="1"/>
  <c r="BV78" s="1"/>
  <c r="BV77" s="1"/>
  <c r="BV76" s="1"/>
  <c r="BV75" s="1"/>
  <c r="BV74" s="1"/>
  <c r="CD103"/>
  <c r="CD102" s="1"/>
  <c r="CD101" s="1"/>
  <c r="CD100" s="1"/>
  <c r="CD99" s="1"/>
  <c r="CD98" s="1"/>
  <c r="CD97" s="1"/>
  <c r="CD96" s="1"/>
  <c r="CD95" s="1"/>
  <c r="CD94" s="1"/>
  <c r="CD93" s="1"/>
  <c r="CD92" s="1"/>
  <c r="CD91" s="1"/>
  <c r="CD90" s="1"/>
  <c r="CD89" s="1"/>
  <c r="CD88" s="1"/>
  <c r="CD87" s="1"/>
  <c r="CD86" s="1"/>
  <c r="CD85" s="1"/>
  <c r="CD84" s="1"/>
  <c r="CD83" s="1"/>
  <c r="CD82" s="1"/>
  <c r="CD81" s="1"/>
  <c r="CD80" s="1"/>
  <c r="CD79" s="1"/>
  <c r="CD78" s="1"/>
  <c r="CD77" s="1"/>
  <c r="CD76" s="1"/>
  <c r="CD75" s="1"/>
  <c r="CD74" s="1"/>
  <c r="CL103"/>
  <c r="CL102" s="1"/>
  <c r="CL101" s="1"/>
  <c r="CL100" s="1"/>
  <c r="CL99" s="1"/>
  <c r="CL98" s="1"/>
  <c r="CL97" s="1"/>
  <c r="CL96" s="1"/>
  <c r="CL95" s="1"/>
  <c r="CL94" s="1"/>
  <c r="CL93" s="1"/>
  <c r="CL92" s="1"/>
  <c r="CL91" s="1"/>
  <c r="CL90" s="1"/>
  <c r="CL89" s="1"/>
  <c r="CL88" s="1"/>
  <c r="CL87" s="1"/>
  <c r="CL86" s="1"/>
  <c r="CL85" s="1"/>
  <c r="CL84" s="1"/>
  <c r="CL83" s="1"/>
  <c r="CL82" s="1"/>
  <c r="CL81" s="1"/>
  <c r="CL80" s="1"/>
  <c r="CL79" s="1"/>
  <c r="CL78" s="1"/>
  <c r="CL77" s="1"/>
  <c r="CL76" s="1"/>
  <c r="CL75" s="1"/>
  <c r="CL74" s="1"/>
  <c r="CT103"/>
  <c r="CT102" s="1"/>
  <c r="CT101" s="1"/>
  <c r="CT100" s="1"/>
  <c r="CT99" s="1"/>
  <c r="CT98" s="1"/>
  <c r="CT97" s="1"/>
  <c r="CT96" s="1"/>
  <c r="CT95" s="1"/>
  <c r="CT94" s="1"/>
  <c r="CT93" s="1"/>
  <c r="CT92" s="1"/>
  <c r="CT91" s="1"/>
  <c r="CT90" s="1"/>
  <c r="CT89" s="1"/>
  <c r="CT88" s="1"/>
  <c r="CT87" s="1"/>
  <c r="CT86" s="1"/>
  <c r="CT85" s="1"/>
  <c r="CT84" s="1"/>
  <c r="CT83" s="1"/>
  <c r="CT82" s="1"/>
  <c r="CT81" s="1"/>
  <c r="CT80" s="1"/>
  <c r="CT79" s="1"/>
  <c r="CT78" s="1"/>
  <c r="CT77" s="1"/>
  <c r="CT76" s="1"/>
  <c r="CT75" s="1"/>
  <c r="CT74" s="1"/>
  <c r="BW41"/>
  <c r="BX41" s="1"/>
  <c r="BY41" s="1"/>
  <c r="BZ41" s="1"/>
  <c r="CA41" s="1"/>
  <c r="CB41" s="1"/>
  <c r="CC41" s="1"/>
  <c r="CD41" s="1"/>
  <c r="CE41" s="1"/>
  <c r="CF41" s="1"/>
  <c r="CG41" s="1"/>
  <c r="CH41" s="1"/>
  <c r="CI41" s="1"/>
  <c r="CJ41" s="1"/>
  <c r="CK41" s="1"/>
  <c r="CL41" s="1"/>
  <c r="CM41" s="1"/>
  <c r="CN41" s="1"/>
  <c r="CO41" s="1"/>
  <c r="CP41" s="1"/>
  <c r="CQ41" s="1"/>
  <c r="CR41" s="1"/>
  <c r="CS41" s="1"/>
  <c r="CT41" s="1"/>
  <c r="CU41" s="1"/>
  <c r="CV41" s="1"/>
  <c r="CW41" s="1"/>
  <c r="CX41" s="1"/>
  <c r="CY41" s="1"/>
  <c r="BW44"/>
  <c r="BX44" s="1"/>
  <c r="BY44" s="1"/>
  <c r="BZ44" s="1"/>
  <c r="CA44" s="1"/>
  <c r="CB44" s="1"/>
  <c r="CC44" s="1"/>
  <c r="CD44" s="1"/>
  <c r="CE44" s="1"/>
  <c r="CF44" s="1"/>
  <c r="CG44" s="1"/>
  <c r="CH44" s="1"/>
  <c r="CI44" s="1"/>
  <c r="CJ44" s="1"/>
  <c r="CK44" s="1"/>
  <c r="CL44" s="1"/>
  <c r="CM44" s="1"/>
  <c r="CN44" s="1"/>
  <c r="CO44" s="1"/>
  <c r="CP44" s="1"/>
  <c r="CQ44" s="1"/>
  <c r="CR44" s="1"/>
  <c r="CS44" s="1"/>
  <c r="CT44" s="1"/>
  <c r="CU44" s="1"/>
  <c r="CV44" s="1"/>
  <c r="CW44" s="1"/>
  <c r="CX44" s="1"/>
  <c r="BW51"/>
  <c r="BX51" s="1"/>
  <c r="BY51" s="1"/>
  <c r="BZ51" s="1"/>
  <c r="CA51" s="1"/>
  <c r="CB51" s="1"/>
  <c r="CC51" s="1"/>
  <c r="CD51" s="1"/>
  <c r="CE51" s="1"/>
  <c r="CF51" s="1"/>
  <c r="CG51" s="1"/>
  <c r="CH51" s="1"/>
  <c r="CI51" s="1"/>
  <c r="CJ51" s="1"/>
  <c r="CK51" s="1"/>
  <c r="CL51" s="1"/>
  <c r="CM51" s="1"/>
  <c r="BW55"/>
  <c r="BX55" s="1"/>
  <c r="BY55" s="1"/>
  <c r="BZ55" s="1"/>
  <c r="CA55" s="1"/>
  <c r="CB55" s="1"/>
  <c r="CC55" s="1"/>
  <c r="CD55" s="1"/>
  <c r="CE55" s="1"/>
  <c r="CF55" s="1"/>
  <c r="CG55" s="1"/>
  <c r="CH55" s="1"/>
  <c r="CI55" s="1"/>
  <c r="CJ55" s="1"/>
  <c r="CK55" s="1"/>
  <c r="CL55" s="1"/>
  <c r="CM55" s="1"/>
  <c r="CN55" s="1"/>
  <c r="CO55" s="1"/>
  <c r="CP55" s="1"/>
  <c r="CQ55" s="1"/>
  <c r="CR55" s="1"/>
  <c r="CS55" s="1"/>
  <c r="CT55" s="1"/>
  <c r="CU55" s="1"/>
  <c r="CV55" s="1"/>
  <c r="CW55" s="1"/>
  <c r="CX55" s="1"/>
  <c r="CY55" s="1"/>
  <c r="BW63"/>
  <c r="BX63" s="1"/>
  <c r="BY63" s="1"/>
  <c r="BZ63" s="1"/>
  <c r="CA63" s="1"/>
  <c r="CB63" s="1"/>
  <c r="CC63" s="1"/>
  <c r="CD63" s="1"/>
  <c r="CE63" s="1"/>
  <c r="CF63" s="1"/>
  <c r="CG63" s="1"/>
  <c r="CH63" s="1"/>
  <c r="CI63" s="1"/>
  <c r="CJ63" s="1"/>
  <c r="CK63" s="1"/>
  <c r="CL63" s="1"/>
  <c r="CM63" s="1"/>
  <c r="CN63" s="1"/>
  <c r="BW69"/>
  <c r="BX69" s="1"/>
  <c r="BY69" s="1"/>
  <c r="BZ69" s="1"/>
  <c r="CA69" s="1"/>
  <c r="CB69" s="1"/>
  <c r="CC69" s="1"/>
  <c r="CD69" s="1"/>
  <c r="CE69" s="1"/>
  <c r="CF69" s="1"/>
  <c r="CG69" s="1"/>
  <c r="CH69" s="1"/>
  <c r="CI69" s="1"/>
  <c r="CJ69" s="1"/>
  <c r="CK69" s="1"/>
  <c r="CL69" s="1"/>
  <c r="CM69" s="1"/>
  <c r="CN69" s="1"/>
  <c r="CO69" s="1"/>
  <c r="CP69" s="1"/>
  <c r="CQ69" s="1"/>
  <c r="CR69" s="1"/>
  <c r="CS69" s="1"/>
  <c r="CT69" s="1"/>
  <c r="CU69" s="1"/>
  <c r="CV69" s="1"/>
  <c r="CW69" s="1"/>
  <c r="CX69" s="1"/>
  <c r="CY69" s="1"/>
  <c r="CV102"/>
  <c r="CV101" s="1"/>
  <c r="CV100" s="1"/>
  <c r="CV99" s="1"/>
  <c r="CV98" s="1"/>
  <c r="CV97" s="1"/>
  <c r="CV96" s="1"/>
  <c r="CV95" s="1"/>
  <c r="CV94" s="1"/>
  <c r="CV93" s="1"/>
  <c r="CV92" s="1"/>
  <c r="CV91" s="1"/>
  <c r="CV90" s="1"/>
  <c r="CV89" s="1"/>
  <c r="CV88" s="1"/>
  <c r="CV87" s="1"/>
  <c r="CV86" s="1"/>
  <c r="CV85" s="1"/>
  <c r="CV84" s="1"/>
  <c r="CV83" s="1"/>
  <c r="CV82" s="1"/>
  <c r="CV81" s="1"/>
  <c r="CV80" s="1"/>
  <c r="CV79" s="1"/>
  <c r="CV78" s="1"/>
  <c r="CV77" s="1"/>
  <c r="CV76" s="1"/>
  <c r="CV75" s="1"/>
  <c r="CV74" s="1"/>
  <c r="CA103"/>
  <c r="CA102" s="1"/>
  <c r="CA101" s="1"/>
  <c r="CA100" s="1"/>
  <c r="CA99" s="1"/>
  <c r="CA98" s="1"/>
  <c r="CA97" s="1"/>
  <c r="CA96" s="1"/>
  <c r="CA95" s="1"/>
  <c r="CA94" s="1"/>
  <c r="CA93" s="1"/>
  <c r="CA92" s="1"/>
  <c r="CA91" s="1"/>
  <c r="CA90" s="1"/>
  <c r="CA89" s="1"/>
  <c r="CA88" s="1"/>
  <c r="CA87" s="1"/>
  <c r="CA86" s="1"/>
  <c r="CA85" s="1"/>
  <c r="CA84" s="1"/>
  <c r="CA83" s="1"/>
  <c r="CA82" s="1"/>
  <c r="CA81" s="1"/>
  <c r="CA80" s="1"/>
  <c r="CA79" s="1"/>
  <c r="CA78" s="1"/>
  <c r="CA77" s="1"/>
  <c r="CA76" s="1"/>
  <c r="CA75" s="1"/>
  <c r="CA74" s="1"/>
  <c r="CI103"/>
  <c r="CI102" s="1"/>
  <c r="CI101" s="1"/>
  <c r="CI100" s="1"/>
  <c r="CI99" s="1"/>
  <c r="CI98" s="1"/>
  <c r="CI97" s="1"/>
  <c r="CI96" s="1"/>
  <c r="CI95" s="1"/>
  <c r="CI94" s="1"/>
  <c r="CI93" s="1"/>
  <c r="CI92" s="1"/>
  <c r="CI91" s="1"/>
  <c r="CI90" s="1"/>
  <c r="CI89" s="1"/>
  <c r="CI88" s="1"/>
  <c r="CI87" s="1"/>
  <c r="CI86" s="1"/>
  <c r="CI85" s="1"/>
  <c r="CI84" s="1"/>
  <c r="CI83" s="1"/>
  <c r="CI82" s="1"/>
  <c r="CI81" s="1"/>
  <c r="CI80" s="1"/>
  <c r="CI79" s="1"/>
  <c r="CI78" s="1"/>
  <c r="CI77" s="1"/>
  <c r="CI76" s="1"/>
  <c r="CI75" s="1"/>
  <c r="CI74" s="1"/>
  <c r="CQ103"/>
  <c r="CQ102" s="1"/>
  <c r="CQ101" s="1"/>
  <c r="CQ100" s="1"/>
  <c r="CQ99" s="1"/>
  <c r="CQ98" s="1"/>
  <c r="CQ97" s="1"/>
  <c r="CQ96" s="1"/>
  <c r="CQ95" s="1"/>
  <c r="CQ94" s="1"/>
  <c r="CQ93" s="1"/>
  <c r="CQ92" s="1"/>
  <c r="CQ91" s="1"/>
  <c r="CQ90" s="1"/>
  <c r="CQ89" s="1"/>
  <c r="CQ88" s="1"/>
  <c r="CQ87" s="1"/>
  <c r="CQ86" s="1"/>
  <c r="CQ85" s="1"/>
  <c r="CQ84" s="1"/>
  <c r="CQ83" s="1"/>
  <c r="CQ82" s="1"/>
  <c r="CQ81" s="1"/>
  <c r="CQ80" s="1"/>
  <c r="CQ79" s="1"/>
  <c r="CQ78" s="1"/>
  <c r="CQ77" s="1"/>
  <c r="CQ76" s="1"/>
  <c r="CQ75" s="1"/>
  <c r="CQ74" s="1"/>
  <c r="CY103"/>
  <c r="CY102" s="1"/>
  <c r="CY101" s="1"/>
  <c r="CY100" s="1"/>
  <c r="CY99" s="1"/>
  <c r="CY98" s="1"/>
  <c r="CY97" s="1"/>
  <c r="CY96" s="1"/>
  <c r="CY95" s="1"/>
  <c r="CY94" s="1"/>
  <c r="CY93" s="1"/>
  <c r="CY92" s="1"/>
  <c r="CY91" s="1"/>
  <c r="CY90" s="1"/>
  <c r="CY89" s="1"/>
  <c r="CY88" s="1"/>
  <c r="CY87" s="1"/>
  <c r="CY86" s="1"/>
  <c r="CY85" s="1"/>
  <c r="CY84" s="1"/>
  <c r="CY83" s="1"/>
  <c r="CY82" s="1"/>
  <c r="CY81" s="1"/>
  <c r="CY80" s="1"/>
  <c r="CY79" s="1"/>
  <c r="CY78" s="1"/>
  <c r="CY77" s="1"/>
  <c r="CY76" s="1"/>
  <c r="CY75" s="1"/>
  <c r="CY74" s="1"/>
  <c r="CC103"/>
  <c r="CC102" s="1"/>
  <c r="CC101" s="1"/>
  <c r="CC100" s="1"/>
  <c r="CC99" s="1"/>
  <c r="CC98" s="1"/>
  <c r="CC97" s="1"/>
  <c r="CC96" s="1"/>
  <c r="CC95" s="1"/>
  <c r="CC94" s="1"/>
  <c r="CC93" s="1"/>
  <c r="CC92" s="1"/>
  <c r="CC91" s="1"/>
  <c r="CC90" s="1"/>
  <c r="CC89" s="1"/>
  <c r="CC88" s="1"/>
  <c r="CC87" s="1"/>
  <c r="CC86" s="1"/>
  <c r="CC85" s="1"/>
  <c r="CC84" s="1"/>
  <c r="CC83" s="1"/>
  <c r="CC82" s="1"/>
  <c r="CC81" s="1"/>
  <c r="CC80" s="1"/>
  <c r="CC79" s="1"/>
  <c r="CC78" s="1"/>
  <c r="CC77" s="1"/>
  <c r="CC76" s="1"/>
  <c r="CC75" s="1"/>
  <c r="CC74" s="1"/>
  <c r="CK103"/>
  <c r="CK102" s="1"/>
  <c r="CK101" s="1"/>
  <c r="CK100" s="1"/>
  <c r="CK99" s="1"/>
  <c r="CK98" s="1"/>
  <c r="CK97" s="1"/>
  <c r="CK96" s="1"/>
  <c r="CK95" s="1"/>
  <c r="CK94" s="1"/>
  <c r="CK93" s="1"/>
  <c r="CK92" s="1"/>
  <c r="CK91" s="1"/>
  <c r="CK90" s="1"/>
  <c r="CK89" s="1"/>
  <c r="CK88" s="1"/>
  <c r="CK87" s="1"/>
  <c r="CK86" s="1"/>
  <c r="CK85" s="1"/>
  <c r="CK84" s="1"/>
  <c r="CK83" s="1"/>
  <c r="CK82" s="1"/>
  <c r="CK81" s="1"/>
  <c r="CK80" s="1"/>
  <c r="CK79" s="1"/>
  <c r="CK78" s="1"/>
  <c r="CK77" s="1"/>
  <c r="CK76" s="1"/>
  <c r="CK75" s="1"/>
  <c r="CK74" s="1"/>
  <c r="CS103"/>
  <c r="CS102" s="1"/>
  <c r="CS101" s="1"/>
  <c r="CS100" s="1"/>
  <c r="CS99" s="1"/>
  <c r="CS98" s="1"/>
  <c r="CS97" s="1"/>
  <c r="CS96" s="1"/>
  <c r="CS95" s="1"/>
  <c r="CS94" s="1"/>
  <c r="CS93" s="1"/>
  <c r="CS92" s="1"/>
  <c r="CS91" s="1"/>
  <c r="CS90" s="1"/>
  <c r="CS89" s="1"/>
  <c r="CS88" s="1"/>
  <c r="CS87" s="1"/>
  <c r="CS86" s="1"/>
  <c r="CS85" s="1"/>
  <c r="CS84" s="1"/>
  <c r="CS83" s="1"/>
  <c r="CS82" s="1"/>
  <c r="CS81" s="1"/>
  <c r="CS80" s="1"/>
  <c r="CS79" s="1"/>
  <c r="CS78" s="1"/>
  <c r="CS77" s="1"/>
  <c r="CS76" s="1"/>
  <c r="CS75" s="1"/>
  <c r="CS74" s="1"/>
  <c r="BW39"/>
  <c r="BX39" s="1"/>
  <c r="BY39" s="1"/>
  <c r="BZ39" s="1"/>
  <c r="CA39" s="1"/>
  <c r="CB39" s="1"/>
  <c r="CC39" s="1"/>
  <c r="CD39" s="1"/>
  <c r="CE39" s="1"/>
  <c r="CF39" s="1"/>
  <c r="CG39" s="1"/>
  <c r="CH39" s="1"/>
  <c r="CI39" s="1"/>
  <c r="CJ39" s="1"/>
  <c r="CK39" s="1"/>
  <c r="CL39" s="1"/>
  <c r="CM39" s="1"/>
  <c r="CN39" s="1"/>
  <c r="CO39" s="1"/>
  <c r="CP39" s="1"/>
  <c r="CQ39" s="1"/>
  <c r="CR39" s="1"/>
  <c r="CS39" s="1"/>
  <c r="CT39" s="1"/>
  <c r="CU39" s="1"/>
  <c r="CV39" s="1"/>
  <c r="CW39" s="1"/>
  <c r="CX39" s="1"/>
  <c r="CY39" s="1"/>
  <c r="BW40"/>
  <c r="BX40" s="1"/>
  <c r="BY40" s="1"/>
  <c r="BZ40" s="1"/>
  <c r="CA40" s="1"/>
  <c r="CB40" s="1"/>
  <c r="CC40" s="1"/>
  <c r="CD40" s="1"/>
  <c r="CE40" s="1"/>
  <c r="CF40" s="1"/>
  <c r="CG40" s="1"/>
  <c r="CH40" s="1"/>
  <c r="CI40" s="1"/>
  <c r="CJ40" s="1"/>
  <c r="CK40" s="1"/>
  <c r="CL40" s="1"/>
  <c r="CM40" s="1"/>
  <c r="CN40" s="1"/>
  <c r="CO40" s="1"/>
  <c r="CP40" s="1"/>
  <c r="CQ40" s="1"/>
  <c r="CR40" s="1"/>
  <c r="CS40" s="1"/>
  <c r="CT40" s="1"/>
  <c r="CU40" s="1"/>
  <c r="CV40" s="1"/>
  <c r="CW40" s="1"/>
  <c r="CX40" s="1"/>
  <c r="CY40" s="1"/>
  <c r="BW43"/>
  <c r="BX43" s="1"/>
  <c r="BY43" s="1"/>
  <c r="BZ43" s="1"/>
  <c r="CA43" s="1"/>
  <c r="CB43" s="1"/>
  <c r="CC43" s="1"/>
  <c r="CD43" s="1"/>
  <c r="CE43" s="1"/>
  <c r="BW47"/>
  <c r="BX47" s="1"/>
  <c r="BY47" s="1"/>
  <c r="BZ47" s="1"/>
  <c r="CA47" s="1"/>
  <c r="CB47" s="1"/>
  <c r="CC47" s="1"/>
  <c r="CD47" s="1"/>
  <c r="CE47" s="1"/>
  <c r="CF47" s="1"/>
  <c r="CG47" s="1"/>
  <c r="CH47" s="1"/>
  <c r="CI47" s="1"/>
  <c r="CJ47" s="1"/>
  <c r="CK47" s="1"/>
  <c r="CL47" s="1"/>
  <c r="CM47" s="1"/>
  <c r="CN47" s="1"/>
  <c r="CO47" s="1"/>
  <c r="CP47" s="1"/>
  <c r="CQ47" s="1"/>
  <c r="CR47" s="1"/>
  <c r="CS47" s="1"/>
  <c r="CT47" s="1"/>
  <c r="CU47" s="1"/>
  <c r="CV47" s="1"/>
  <c r="CW47" s="1"/>
  <c r="CX47" s="1"/>
  <c r="CY47" s="1"/>
  <c r="BW50"/>
  <c r="BX50" s="1"/>
  <c r="BY50" s="1"/>
  <c r="BZ50" s="1"/>
  <c r="CA50" s="1"/>
  <c r="CB50" s="1"/>
  <c r="CC50" s="1"/>
  <c r="CD50" s="1"/>
  <c r="CE50" s="1"/>
  <c r="CF50" s="1"/>
  <c r="CG50" s="1"/>
  <c r="CH50" s="1"/>
  <c r="CI50" s="1"/>
  <c r="CJ50" s="1"/>
  <c r="CK50" s="1"/>
  <c r="CL50" s="1"/>
  <c r="CM50" s="1"/>
  <c r="CN50" s="1"/>
  <c r="CO50" s="1"/>
  <c r="CP50" s="1"/>
  <c r="CQ50" s="1"/>
  <c r="CR50" s="1"/>
  <c r="BW54"/>
  <c r="BX54" s="1"/>
  <c r="BY54" s="1"/>
  <c r="BZ54" s="1"/>
  <c r="CA54" s="1"/>
  <c r="CB54" s="1"/>
  <c r="CC54" s="1"/>
  <c r="CD54" s="1"/>
  <c r="CE54" s="1"/>
  <c r="CF54" s="1"/>
  <c r="CG54" s="1"/>
  <c r="CH54" s="1"/>
  <c r="CI54" s="1"/>
  <c r="CJ54" s="1"/>
  <c r="CK54" s="1"/>
  <c r="CL54" s="1"/>
  <c r="CM54" s="1"/>
  <c r="CN54" s="1"/>
  <c r="BW58"/>
  <c r="BX58" s="1"/>
  <c r="BY58" s="1"/>
  <c r="BZ58" s="1"/>
  <c r="CA58" s="1"/>
  <c r="CB58" s="1"/>
  <c r="CC58" s="1"/>
  <c r="CD58" s="1"/>
  <c r="CE58" s="1"/>
  <c r="CF58" s="1"/>
  <c r="CG58" s="1"/>
  <c r="CH58" s="1"/>
  <c r="CI58" s="1"/>
  <c r="CJ58" s="1"/>
  <c r="CK58" s="1"/>
  <c r="CL58" s="1"/>
  <c r="CM58" s="1"/>
  <c r="CN58" s="1"/>
  <c r="CO58" s="1"/>
  <c r="CP58" s="1"/>
  <c r="CQ58" s="1"/>
  <c r="CR58" s="1"/>
  <c r="CS58" s="1"/>
  <c r="CT58" s="1"/>
  <c r="CU58" s="1"/>
  <c r="CV58" s="1"/>
  <c r="CW58" s="1"/>
  <c r="BW62"/>
  <c r="BX62" s="1"/>
  <c r="BY62" s="1"/>
  <c r="BZ62" s="1"/>
  <c r="CA62" s="1"/>
  <c r="CB62" s="1"/>
  <c r="CC62" s="1"/>
  <c r="CD62" s="1"/>
  <c r="CE62" s="1"/>
  <c r="CF62" s="1"/>
  <c r="CG62" s="1"/>
  <c r="CH62" s="1"/>
  <c r="CI62" s="1"/>
  <c r="CJ62" s="1"/>
  <c r="CK62" s="1"/>
  <c r="CL62" s="1"/>
  <c r="CM62" s="1"/>
  <c r="CN62" s="1"/>
  <c r="CO62" s="1"/>
  <c r="CP62" s="1"/>
  <c r="CQ62" s="1"/>
  <c r="CR62" s="1"/>
  <c r="CS62" s="1"/>
  <c r="CT62" s="1"/>
  <c r="CU62" s="1"/>
  <c r="CV62" s="1"/>
  <c r="CW62" s="1"/>
  <c r="CX62" s="1"/>
  <c r="CY62" s="1"/>
  <c r="BY65"/>
  <c r="BZ65" s="1"/>
  <c r="CA65" s="1"/>
  <c r="CB65" s="1"/>
  <c r="CC65" s="1"/>
  <c r="CD65" s="1"/>
  <c r="CE65" s="1"/>
  <c r="CF65" s="1"/>
  <c r="CG65" s="1"/>
  <c r="CH65" s="1"/>
  <c r="CI65" s="1"/>
  <c r="CJ65" s="1"/>
  <c r="CK65" s="1"/>
  <c r="CL65" s="1"/>
  <c r="CM65" s="1"/>
  <c r="CN65" s="1"/>
  <c r="CO65" s="1"/>
  <c r="CP65" s="1"/>
  <c r="CQ65" s="1"/>
  <c r="CR65" s="1"/>
  <c r="CS65" s="1"/>
  <c r="CT65" s="1"/>
  <c r="CU65" s="1"/>
  <c r="CV65" s="1"/>
  <c r="CW65" s="1"/>
  <c r="CX65" s="1"/>
  <c r="CY65" s="1"/>
  <c r="BW68"/>
  <c r="BX68" s="1"/>
  <c r="BY68" s="1"/>
  <c r="BZ68" s="1"/>
  <c r="CA68" s="1"/>
  <c r="CB68" s="1"/>
  <c r="CC68" s="1"/>
  <c r="CD68" s="1"/>
  <c r="CE68" s="1"/>
  <c r="CF68" s="1"/>
  <c r="CG68" s="1"/>
  <c r="CH68" s="1"/>
  <c r="CI68" s="1"/>
  <c r="CJ68" s="1"/>
  <c r="CK68" s="1"/>
  <c r="CL68" s="1"/>
  <c r="CM68" s="1"/>
  <c r="CN68" s="1"/>
  <c r="CO68" s="1"/>
  <c r="CP68" s="1"/>
  <c r="CQ68" s="1"/>
  <c r="CR68" s="1"/>
  <c r="CS68" s="1"/>
  <c r="CT68" s="1"/>
  <c r="CU68" s="1"/>
  <c r="CV68" s="1"/>
  <c r="CW68" s="1"/>
  <c r="CX68" s="1"/>
  <c r="CY68" s="1"/>
  <c r="CM48"/>
  <c r="CN48" s="1"/>
  <c r="CO48" s="1"/>
  <c r="CP48" s="1"/>
  <c r="CQ48" s="1"/>
  <c r="CR48" s="1"/>
  <c r="CS48" s="1"/>
  <c r="CT48" s="1"/>
  <c r="CU48" s="1"/>
  <c r="CV48" s="1"/>
  <c r="CW48" s="1"/>
  <c r="CX48" s="1"/>
  <c r="CY48" s="1"/>
  <c r="CO63"/>
  <c r="CP63" s="1"/>
  <c r="CQ63" s="1"/>
  <c r="CR63" s="1"/>
  <c r="CS63" s="1"/>
  <c r="CT63" s="1"/>
  <c r="CU63" s="1"/>
  <c r="CV63" s="1"/>
  <c r="CW63" s="1"/>
  <c r="CX63" s="1"/>
  <c r="CY63" s="1"/>
  <c r="CX66"/>
  <c r="CY52"/>
  <c r="CF43"/>
  <c r="CG43" s="1"/>
  <c r="CH43" s="1"/>
  <c r="CI43" s="1"/>
  <c r="CJ43" s="1"/>
  <c r="CK43" s="1"/>
  <c r="CL43" s="1"/>
  <c r="CM43" s="1"/>
  <c r="CN43" s="1"/>
  <c r="CO43" s="1"/>
  <c r="CP43" s="1"/>
  <c r="CQ43" s="1"/>
  <c r="CR43" s="1"/>
  <c r="CS43" s="1"/>
  <c r="CT43" s="1"/>
  <c r="CU43" s="1"/>
  <c r="CY66"/>
  <c r="BW49" l="1"/>
  <c r="BX49" s="1"/>
  <c r="BY49" s="1"/>
  <c r="BZ49" s="1"/>
  <c r="CA49" s="1"/>
  <c r="CB49" s="1"/>
  <c r="CC49" s="1"/>
  <c r="CD49" s="1"/>
  <c r="CE49" s="1"/>
  <c r="CF49" s="1"/>
  <c r="CG49" s="1"/>
  <c r="CH49" s="1"/>
  <c r="CI49" s="1"/>
  <c r="CJ49" s="1"/>
  <c r="CK49" s="1"/>
  <c r="CL49" s="1"/>
  <c r="CM49" s="1"/>
  <c r="CN49" s="1"/>
  <c r="CO49" s="1"/>
  <c r="CP49" s="1"/>
  <c r="CQ49" s="1"/>
  <c r="CR49" s="1"/>
  <c r="CS49" s="1"/>
  <c r="CT49" s="1"/>
  <c r="CU49" s="1"/>
  <c r="CV49" s="1"/>
  <c r="CW49" s="1"/>
  <c r="DE55"/>
  <c r="DF55" s="1"/>
  <c r="DG55" s="1"/>
  <c r="DH55" s="1"/>
  <c r="DI55" s="1"/>
  <c r="DJ55" s="1"/>
  <c r="DK55" s="1"/>
  <c r="DL55" s="1"/>
  <c r="DM55" s="1"/>
  <c r="DN55" s="1"/>
  <c r="DO55" s="1"/>
  <c r="DP55" s="1"/>
  <c r="DQ55" s="1"/>
  <c r="DR55" s="1"/>
  <c r="DS55" s="1"/>
  <c r="DT55" s="1"/>
  <c r="DU55" s="1"/>
  <c r="DV55" s="1"/>
  <c r="DW55" s="1"/>
  <c r="DX55" s="1"/>
  <c r="DY55" s="1"/>
  <c r="DZ55" s="1"/>
  <c r="EA55" s="1"/>
  <c r="EB55" s="1"/>
  <c r="EC55" s="1"/>
  <c r="ED55" s="1"/>
  <c r="EE55" s="1"/>
  <c r="EF55" s="1"/>
  <c r="EG55" s="1"/>
  <c r="EH55" s="1"/>
  <c r="BW57"/>
  <c r="BX57" s="1"/>
  <c r="BY57" s="1"/>
  <c r="BZ57" s="1"/>
  <c r="CA57" s="1"/>
  <c r="CB57" s="1"/>
  <c r="CC57" s="1"/>
  <c r="CD57" s="1"/>
  <c r="CE57" s="1"/>
  <c r="CF57" s="1"/>
  <c r="CG57" s="1"/>
  <c r="CH57" s="1"/>
  <c r="CI57" s="1"/>
  <c r="CJ57" s="1"/>
  <c r="CK57" s="1"/>
  <c r="CL57" s="1"/>
  <c r="CM57" s="1"/>
  <c r="CN57" s="1"/>
  <c r="CO57" s="1"/>
  <c r="CP57" s="1"/>
  <c r="CQ57" s="1"/>
  <c r="CR57" s="1"/>
  <c r="CS57" s="1"/>
  <c r="CT57" s="1"/>
  <c r="CR103"/>
  <c r="CR102" s="1"/>
  <c r="CR101" s="1"/>
  <c r="CR100" s="1"/>
  <c r="CR99" s="1"/>
  <c r="CR98" s="1"/>
  <c r="CR97" s="1"/>
  <c r="CR96" s="1"/>
  <c r="CR95" s="1"/>
  <c r="CR94" s="1"/>
  <c r="CR93" s="1"/>
  <c r="CR92" s="1"/>
  <c r="CR91" s="1"/>
  <c r="CR90" s="1"/>
  <c r="CR89" s="1"/>
  <c r="CR88" s="1"/>
  <c r="CR87" s="1"/>
  <c r="CR86" s="1"/>
  <c r="CR85" s="1"/>
  <c r="CR84" s="1"/>
  <c r="CR83" s="1"/>
  <c r="CR82" s="1"/>
  <c r="CR81" s="1"/>
  <c r="CR80" s="1"/>
  <c r="CR79" s="1"/>
  <c r="CR78" s="1"/>
  <c r="CR77" s="1"/>
  <c r="CR76" s="1"/>
  <c r="CR75" s="1"/>
  <c r="CR74" s="1"/>
  <c r="BY103"/>
  <c r="BY102" s="1"/>
  <c r="BY101" s="1"/>
  <c r="BY100" s="1"/>
  <c r="BY99" s="1"/>
  <c r="BY98" s="1"/>
  <c r="BY97" s="1"/>
  <c r="BY96" s="1"/>
  <c r="BY95" s="1"/>
  <c r="BY94" s="1"/>
  <c r="BY93" s="1"/>
  <c r="BY92" s="1"/>
  <c r="BY91" s="1"/>
  <c r="BY90" s="1"/>
  <c r="BY89" s="1"/>
  <c r="BY88" s="1"/>
  <c r="BY87" s="1"/>
  <c r="BY86" s="1"/>
  <c r="BY85" s="1"/>
  <c r="BY84" s="1"/>
  <c r="BY83" s="1"/>
  <c r="BY82" s="1"/>
  <c r="BY81" s="1"/>
  <c r="BY80" s="1"/>
  <c r="BY79" s="1"/>
  <c r="BY78" s="1"/>
  <c r="BY77" s="1"/>
  <c r="BY76" s="1"/>
  <c r="BY75" s="1"/>
  <c r="BY74" s="1"/>
  <c r="DE59"/>
  <c r="CF102"/>
  <c r="CF101" s="1"/>
  <c r="CF100" s="1"/>
  <c r="CF99" s="1"/>
  <c r="CF98" s="1"/>
  <c r="CF97" s="1"/>
  <c r="CF96" s="1"/>
  <c r="CF95" s="1"/>
  <c r="CF94" s="1"/>
  <c r="CF93" s="1"/>
  <c r="CF92" s="1"/>
  <c r="CF91" s="1"/>
  <c r="CF90" s="1"/>
  <c r="CF89" s="1"/>
  <c r="CF88" s="1"/>
  <c r="CF87" s="1"/>
  <c r="CF86" s="1"/>
  <c r="CF85" s="1"/>
  <c r="CF84" s="1"/>
  <c r="CF83" s="1"/>
  <c r="CF82" s="1"/>
  <c r="CF81" s="1"/>
  <c r="CF80" s="1"/>
  <c r="CF79" s="1"/>
  <c r="CF78" s="1"/>
  <c r="CF77" s="1"/>
  <c r="CF76" s="1"/>
  <c r="CF75" s="1"/>
  <c r="CF74" s="1"/>
  <c r="BW61"/>
  <c r="BX61" s="1"/>
  <c r="BY61" s="1"/>
  <c r="BZ61" s="1"/>
  <c r="CA61" s="1"/>
  <c r="CB61" s="1"/>
  <c r="CC61" s="1"/>
  <c r="CD61" s="1"/>
  <c r="CE61" s="1"/>
  <c r="CF61" s="1"/>
  <c r="CG61" s="1"/>
  <c r="CH61" s="1"/>
  <c r="CI61" s="1"/>
  <c r="CJ61" s="1"/>
  <c r="CK61" s="1"/>
  <c r="CL61" s="1"/>
  <c r="CM61" s="1"/>
  <c r="CN61" s="1"/>
  <c r="CO61" s="1"/>
  <c r="CP61" s="1"/>
  <c r="CQ61" s="1"/>
  <c r="CR61" s="1"/>
  <c r="CS61" s="1"/>
  <c r="CT61" s="1"/>
  <c r="CU61" s="1"/>
  <c r="CV61" s="1"/>
  <c r="CW61" s="1"/>
  <c r="CX61" s="1"/>
  <c r="CZ103"/>
  <c r="CZ102" s="1"/>
  <c r="CZ101" s="1"/>
  <c r="CZ100" s="1"/>
  <c r="CZ99" s="1"/>
  <c r="CZ98" s="1"/>
  <c r="CZ97" s="1"/>
  <c r="CZ96" s="1"/>
  <c r="CZ95" s="1"/>
  <c r="CZ94" s="1"/>
  <c r="CZ93" s="1"/>
  <c r="CZ92" s="1"/>
  <c r="CZ91" s="1"/>
  <c r="CZ90" s="1"/>
  <c r="CZ89" s="1"/>
  <c r="CZ88" s="1"/>
  <c r="CZ87" s="1"/>
  <c r="CZ86" s="1"/>
  <c r="CZ85" s="1"/>
  <c r="CZ84" s="1"/>
  <c r="CZ83" s="1"/>
  <c r="CZ82" s="1"/>
  <c r="CZ81" s="1"/>
  <c r="CZ80" s="1"/>
  <c r="CZ79" s="1"/>
  <c r="CZ78" s="1"/>
  <c r="CZ77" s="1"/>
  <c r="CZ76" s="1"/>
  <c r="CZ75" s="1"/>
  <c r="CZ74" s="1"/>
  <c r="CO103"/>
  <c r="CO102" s="1"/>
  <c r="CO101" s="1"/>
  <c r="CO100" s="1"/>
  <c r="CO99" s="1"/>
  <c r="CO98" s="1"/>
  <c r="CO97" s="1"/>
  <c r="CO96" s="1"/>
  <c r="CO95" s="1"/>
  <c r="CO94" s="1"/>
  <c r="CO93" s="1"/>
  <c r="CO92" s="1"/>
  <c r="CO91" s="1"/>
  <c r="CO90" s="1"/>
  <c r="CO89" s="1"/>
  <c r="CO88" s="1"/>
  <c r="CO87" s="1"/>
  <c r="CO86" s="1"/>
  <c r="CO85" s="1"/>
  <c r="CO84" s="1"/>
  <c r="CO83" s="1"/>
  <c r="CO82" s="1"/>
  <c r="CO81" s="1"/>
  <c r="CO80" s="1"/>
  <c r="CO79" s="1"/>
  <c r="CO78" s="1"/>
  <c r="CO77" s="1"/>
  <c r="CO76" s="1"/>
  <c r="CO75" s="1"/>
  <c r="CO74" s="1"/>
  <c r="EH103"/>
  <c r="DD103"/>
  <c r="DD102" s="1"/>
  <c r="DD101" s="1"/>
  <c r="DD100" s="1"/>
  <c r="DD99" s="1"/>
  <c r="DD98" s="1"/>
  <c r="DD97" s="1"/>
  <c r="DD96" s="1"/>
  <c r="DD95" s="1"/>
  <c r="DD94" s="1"/>
  <c r="DD93" s="1"/>
  <c r="DD92" s="1"/>
  <c r="DD91" s="1"/>
  <c r="DD90" s="1"/>
  <c r="DD89" s="1"/>
  <c r="DD88" s="1"/>
  <c r="DD87" s="1"/>
  <c r="DD86" s="1"/>
  <c r="DD85" s="1"/>
  <c r="DD84" s="1"/>
  <c r="DD83" s="1"/>
  <c r="DD82" s="1"/>
  <c r="DD81" s="1"/>
  <c r="DD80" s="1"/>
  <c r="DD79" s="1"/>
  <c r="DD78" s="1"/>
  <c r="DD77" s="1"/>
  <c r="DD76" s="1"/>
  <c r="DD75" s="1"/>
  <c r="DD74" s="1"/>
  <c r="DE57"/>
  <c r="DF57" s="1"/>
  <c r="DG57" s="1"/>
  <c r="DH57" s="1"/>
  <c r="DI57" s="1"/>
  <c r="DJ57" s="1"/>
  <c r="DK57" s="1"/>
  <c r="DL57" s="1"/>
  <c r="DM57" s="1"/>
  <c r="DN57" s="1"/>
  <c r="DO57" s="1"/>
  <c r="DP57" s="1"/>
  <c r="DQ57" s="1"/>
  <c r="DR57" s="1"/>
  <c r="DS57" s="1"/>
  <c r="DT57" s="1"/>
  <c r="DU57" s="1"/>
  <c r="DV57" s="1"/>
  <c r="DW57" s="1"/>
  <c r="DX57" s="1"/>
  <c r="DY57" s="1"/>
  <c r="DZ57" s="1"/>
  <c r="EA57" s="1"/>
  <c r="EB57" s="1"/>
  <c r="EC57" s="1"/>
  <c r="DE68"/>
  <c r="DF68" s="1"/>
  <c r="DG68" s="1"/>
  <c r="DH68" s="1"/>
  <c r="DI68" s="1"/>
  <c r="DJ68" s="1"/>
  <c r="DK68" s="1"/>
  <c r="DL68" s="1"/>
  <c r="DM68" s="1"/>
  <c r="DN68" s="1"/>
  <c r="DO68" s="1"/>
  <c r="DP68" s="1"/>
  <c r="DQ68" s="1"/>
  <c r="DR68" s="1"/>
  <c r="DS68" s="1"/>
  <c r="DT68" s="1"/>
  <c r="DU68" s="1"/>
  <c r="DV68" s="1"/>
  <c r="DW68" s="1"/>
  <c r="DX68" s="1"/>
  <c r="DY68" s="1"/>
  <c r="DZ68" s="1"/>
  <c r="EA68" s="1"/>
  <c r="EB68" s="1"/>
  <c r="EC68" s="1"/>
  <c r="ED68" s="1"/>
  <c r="EE68" s="1"/>
  <c r="EF68" s="1"/>
  <c r="EG68" s="1"/>
  <c r="EH68" s="1"/>
  <c r="DE52"/>
  <c r="DF52" s="1"/>
  <c r="DG52" s="1"/>
  <c r="DH52" s="1"/>
  <c r="DI52" s="1"/>
  <c r="DJ52" s="1"/>
  <c r="DK52" s="1"/>
  <c r="DL52" s="1"/>
  <c r="DM52" s="1"/>
  <c r="DN52" s="1"/>
  <c r="DO52" s="1"/>
  <c r="DP52" s="1"/>
  <c r="DQ52" s="1"/>
  <c r="DR52" s="1"/>
  <c r="DS52" s="1"/>
  <c r="DT52" s="1"/>
  <c r="DU52" s="1"/>
  <c r="DV52" s="1"/>
  <c r="DW52" s="1"/>
  <c r="DX52" s="1"/>
  <c r="DY52" s="1"/>
  <c r="DZ52" s="1"/>
  <c r="EA52" s="1"/>
  <c r="EB52" s="1"/>
  <c r="EC52" s="1"/>
  <c r="ED52" s="1"/>
  <c r="EE52" s="1"/>
  <c r="EF52" s="1"/>
  <c r="EG52" s="1"/>
  <c r="EH52" s="1"/>
  <c r="DE67"/>
  <c r="DF67" s="1"/>
  <c r="DG67" s="1"/>
  <c r="DH67" s="1"/>
  <c r="DI67" s="1"/>
  <c r="DJ67" s="1"/>
  <c r="DK67" s="1"/>
  <c r="DL67" s="1"/>
  <c r="DM67" s="1"/>
  <c r="DN67" s="1"/>
  <c r="DO67" s="1"/>
  <c r="DP67" s="1"/>
  <c r="DQ67" s="1"/>
  <c r="DR67" s="1"/>
  <c r="DS67" s="1"/>
  <c r="DT67" s="1"/>
  <c r="DU67" s="1"/>
  <c r="DV67" s="1"/>
  <c r="DW67" s="1"/>
  <c r="DX67" s="1"/>
  <c r="DY67" s="1"/>
  <c r="DZ67" s="1"/>
  <c r="EA67" s="1"/>
  <c r="DE51"/>
  <c r="DF51" s="1"/>
  <c r="DG51" s="1"/>
  <c r="DH51" s="1"/>
  <c r="DI51" s="1"/>
  <c r="DJ51" s="1"/>
  <c r="DK51" s="1"/>
  <c r="DL51" s="1"/>
  <c r="DM51" s="1"/>
  <c r="DN51" s="1"/>
  <c r="DO51" s="1"/>
  <c r="DP51" s="1"/>
  <c r="DQ51" s="1"/>
  <c r="DR51" s="1"/>
  <c r="DS51" s="1"/>
  <c r="DT51" s="1"/>
  <c r="DU51" s="1"/>
  <c r="DV51" s="1"/>
  <c r="DE54"/>
  <c r="DF54" s="1"/>
  <c r="DG54" s="1"/>
  <c r="DH54" s="1"/>
  <c r="DI54" s="1"/>
  <c r="DJ54" s="1"/>
  <c r="DK54" s="1"/>
  <c r="DL54" s="1"/>
  <c r="DM54" s="1"/>
  <c r="DN54" s="1"/>
  <c r="DO54" s="1"/>
  <c r="DP54" s="1"/>
  <c r="DQ54" s="1"/>
  <c r="DR54" s="1"/>
  <c r="DS54" s="1"/>
  <c r="DT54" s="1"/>
  <c r="DU54" s="1"/>
  <c r="DV54" s="1"/>
  <c r="DW54" s="1"/>
  <c r="DE46"/>
  <c r="CS50"/>
  <c r="CT50" s="1"/>
  <c r="CU50" s="1"/>
  <c r="CV50" s="1"/>
  <c r="CW50" s="1"/>
  <c r="CX50" s="1"/>
  <c r="CY50" s="1"/>
  <c r="CX49"/>
  <c r="CY49" s="1"/>
  <c r="CW59"/>
  <c r="CX59" s="1"/>
  <c r="CY59" s="1"/>
  <c r="DE61"/>
  <c r="DF61" s="1"/>
  <c r="DG61" s="1"/>
  <c r="DH61" s="1"/>
  <c r="DI61" s="1"/>
  <c r="DJ61" s="1"/>
  <c r="DK61" s="1"/>
  <c r="DL61" s="1"/>
  <c r="DM61" s="1"/>
  <c r="DN61" s="1"/>
  <c r="DO61" s="1"/>
  <c r="DP61" s="1"/>
  <c r="DQ61" s="1"/>
  <c r="DR61" s="1"/>
  <c r="DS61" s="1"/>
  <c r="DT61" s="1"/>
  <c r="DU61" s="1"/>
  <c r="DV61" s="1"/>
  <c r="DW61" s="1"/>
  <c r="DX61" s="1"/>
  <c r="DY61" s="1"/>
  <c r="DZ61" s="1"/>
  <c r="EA61" s="1"/>
  <c r="EB61" s="1"/>
  <c r="EC61" s="1"/>
  <c r="ED61" s="1"/>
  <c r="EE61" s="1"/>
  <c r="EF61" s="1"/>
  <c r="EG61" s="1"/>
  <c r="DE41"/>
  <c r="DF41" s="1"/>
  <c r="DG41" s="1"/>
  <c r="DH41" s="1"/>
  <c r="DI41" s="1"/>
  <c r="DJ41" s="1"/>
  <c r="DK41" s="1"/>
  <c r="DL41" s="1"/>
  <c r="DM41" s="1"/>
  <c r="DN41" s="1"/>
  <c r="DO41" s="1"/>
  <c r="DP41" s="1"/>
  <c r="DQ41" s="1"/>
  <c r="DR41" s="1"/>
  <c r="DS41" s="1"/>
  <c r="DT41" s="1"/>
  <c r="DU41" s="1"/>
  <c r="DV41" s="1"/>
  <c r="DW41" s="1"/>
  <c r="DX41" s="1"/>
  <c r="DY41" s="1"/>
  <c r="DZ41" s="1"/>
  <c r="EA41" s="1"/>
  <c r="EB41" s="1"/>
  <c r="EC41" s="1"/>
  <c r="ED41" s="1"/>
  <c r="EE41" s="1"/>
  <c r="EF41" s="1"/>
  <c r="EG41" s="1"/>
  <c r="EH41" s="1"/>
  <c r="DE56"/>
  <c r="DF56" s="1"/>
  <c r="DG56" s="1"/>
  <c r="DH56" s="1"/>
  <c r="DI56" s="1"/>
  <c r="DJ56" s="1"/>
  <c r="DK56" s="1"/>
  <c r="DL56" s="1"/>
  <c r="DM56" s="1"/>
  <c r="DN56" s="1"/>
  <c r="DO56" s="1"/>
  <c r="DP56" s="1"/>
  <c r="DQ56" s="1"/>
  <c r="DR56" s="1"/>
  <c r="DS56" s="1"/>
  <c r="DT56" s="1"/>
  <c r="DU56" s="1"/>
  <c r="DV56" s="1"/>
  <c r="DW56" s="1"/>
  <c r="DX56" s="1"/>
  <c r="DY56" s="1"/>
  <c r="DZ56" s="1"/>
  <c r="EA56" s="1"/>
  <c r="EB56" s="1"/>
  <c r="EC56" s="1"/>
  <c r="ED56" s="1"/>
  <c r="EE56" s="1"/>
  <c r="EF56" s="1"/>
  <c r="EG56" s="1"/>
  <c r="DE39"/>
  <c r="DF39" s="1"/>
  <c r="DG39" s="1"/>
  <c r="DH39" s="1"/>
  <c r="DI39" s="1"/>
  <c r="DJ39" s="1"/>
  <c r="DK39" s="1"/>
  <c r="DL39" s="1"/>
  <c r="DM39" s="1"/>
  <c r="DN39" s="1"/>
  <c r="DO39" s="1"/>
  <c r="DP39" s="1"/>
  <c r="DQ39" s="1"/>
  <c r="DR39" s="1"/>
  <c r="DS39" s="1"/>
  <c r="DT39" s="1"/>
  <c r="DU39" s="1"/>
  <c r="DV39" s="1"/>
  <c r="DW39" s="1"/>
  <c r="DX39" s="1"/>
  <c r="DY39" s="1"/>
  <c r="DZ39" s="1"/>
  <c r="EA39" s="1"/>
  <c r="EB39" s="1"/>
  <c r="EC39" s="1"/>
  <c r="ED39" s="1"/>
  <c r="EE39" s="1"/>
  <c r="EF39" s="1"/>
  <c r="EG39" s="1"/>
  <c r="EH39" s="1"/>
  <c r="DE63"/>
  <c r="DF63" s="1"/>
  <c r="DG63" s="1"/>
  <c r="DH63" s="1"/>
  <c r="DI63" s="1"/>
  <c r="DJ63" s="1"/>
  <c r="DK63" s="1"/>
  <c r="DL63" s="1"/>
  <c r="DM63" s="1"/>
  <c r="DN63" s="1"/>
  <c r="DO63" s="1"/>
  <c r="DP63" s="1"/>
  <c r="DQ63" s="1"/>
  <c r="DR63" s="1"/>
  <c r="DS63" s="1"/>
  <c r="DT63" s="1"/>
  <c r="DU63" s="1"/>
  <c r="DV63" s="1"/>
  <c r="DW63" s="1"/>
  <c r="DX63" s="1"/>
  <c r="DY63" s="1"/>
  <c r="DZ63" s="1"/>
  <c r="EA63" s="1"/>
  <c r="EB63" s="1"/>
  <c r="EC63" s="1"/>
  <c r="ED63" s="1"/>
  <c r="EE63" s="1"/>
  <c r="EF63" s="1"/>
  <c r="EG63" s="1"/>
  <c r="EH63" s="1"/>
  <c r="CU57"/>
  <c r="CV57" s="1"/>
  <c r="CW57" s="1"/>
  <c r="CX57" s="1"/>
  <c r="CY57" s="1"/>
  <c r="CY61"/>
  <c r="DE66"/>
  <c r="DF66" s="1"/>
  <c r="DG66" s="1"/>
  <c r="DH66" s="1"/>
  <c r="DI66" s="1"/>
  <c r="DJ66" s="1"/>
  <c r="DK66" s="1"/>
  <c r="DL66" s="1"/>
  <c r="DM66" s="1"/>
  <c r="DN66" s="1"/>
  <c r="DO66" s="1"/>
  <c r="DP66" s="1"/>
  <c r="DQ66" s="1"/>
  <c r="DR66" s="1"/>
  <c r="DS66" s="1"/>
  <c r="DT66" s="1"/>
  <c r="DU66" s="1"/>
  <c r="DV66" s="1"/>
  <c r="DW66" s="1"/>
  <c r="DX66" s="1"/>
  <c r="DY66" s="1"/>
  <c r="DZ66" s="1"/>
  <c r="EA66" s="1"/>
  <c r="EB66" s="1"/>
  <c r="EC66" s="1"/>
  <c r="ED66" s="1"/>
  <c r="EE66" s="1"/>
  <c r="EF66" s="1"/>
  <c r="EG66" s="1"/>
  <c r="EH66" s="1"/>
  <c r="DE65"/>
  <c r="DF65" s="1"/>
  <c r="DG65" s="1"/>
  <c r="DH65" s="1"/>
  <c r="DI65" s="1"/>
  <c r="DJ65" s="1"/>
  <c r="DK65" s="1"/>
  <c r="DL65" s="1"/>
  <c r="DM65" s="1"/>
  <c r="DN65" s="1"/>
  <c r="DO65" s="1"/>
  <c r="DP65" s="1"/>
  <c r="DQ65" s="1"/>
  <c r="DR65" s="1"/>
  <c r="DS65" s="1"/>
  <c r="DT65" s="1"/>
  <c r="DU65" s="1"/>
  <c r="DV65" s="1"/>
  <c r="DW65" s="1"/>
  <c r="DX65" s="1"/>
  <c r="DY65" s="1"/>
  <c r="DZ65" s="1"/>
  <c r="EA65" s="1"/>
  <c r="EB65" s="1"/>
  <c r="EC65" s="1"/>
  <c r="ED65" s="1"/>
  <c r="EE65" s="1"/>
  <c r="EF65" s="1"/>
  <c r="EG65" s="1"/>
  <c r="EH65" s="1"/>
  <c r="DE45"/>
  <c r="DF45" s="1"/>
  <c r="DG45" s="1"/>
  <c r="DH45" s="1"/>
  <c r="DI45" s="1"/>
  <c r="DJ45" s="1"/>
  <c r="DK45" s="1"/>
  <c r="DL45" s="1"/>
  <c r="DM45" s="1"/>
  <c r="DN45" s="1"/>
  <c r="DO45" s="1"/>
  <c r="DP45" s="1"/>
  <c r="DQ45" s="1"/>
  <c r="DR45" s="1"/>
  <c r="DS45" s="1"/>
  <c r="DT45" s="1"/>
  <c r="DU45" s="1"/>
  <c r="DV45" s="1"/>
  <c r="DW45" s="1"/>
  <c r="DX45" s="1"/>
  <c r="DY45" s="1"/>
  <c r="DZ45" s="1"/>
  <c r="EA45" s="1"/>
  <c r="EB45" s="1"/>
  <c r="EC45" s="1"/>
  <c r="ED45" s="1"/>
  <c r="EE45" s="1"/>
  <c r="EF45" s="1"/>
  <c r="EG45" s="1"/>
  <c r="EH45" s="1"/>
  <c r="DE60"/>
  <c r="DE50"/>
  <c r="DF50" s="1"/>
  <c r="DG50" s="1"/>
  <c r="DH50" s="1"/>
  <c r="DI50" s="1"/>
  <c r="DJ50" s="1"/>
  <c r="DK50" s="1"/>
  <c r="DL50" s="1"/>
  <c r="DM50" s="1"/>
  <c r="DN50" s="1"/>
  <c r="DO50" s="1"/>
  <c r="DP50" s="1"/>
  <c r="DQ50" s="1"/>
  <c r="DR50" s="1"/>
  <c r="DS50" s="1"/>
  <c r="DT50" s="1"/>
  <c r="DU50" s="1"/>
  <c r="DV50" s="1"/>
  <c r="DW50" s="1"/>
  <c r="DX50" s="1"/>
  <c r="DY50" s="1"/>
  <c r="DZ50" s="1"/>
  <c r="EA50" s="1"/>
  <c r="DE42"/>
  <c r="DF42" s="1"/>
  <c r="DG42" s="1"/>
  <c r="DH42" s="1"/>
  <c r="DI42" s="1"/>
  <c r="DJ42" s="1"/>
  <c r="DK42" s="1"/>
  <c r="DL42" s="1"/>
  <c r="DM42" s="1"/>
  <c r="DN42" s="1"/>
  <c r="DO42" s="1"/>
  <c r="DP42" s="1"/>
  <c r="DQ42" s="1"/>
  <c r="DR42" s="1"/>
  <c r="DS42" s="1"/>
  <c r="DT42" s="1"/>
  <c r="DU42" s="1"/>
  <c r="DV42" s="1"/>
  <c r="DW42" s="1"/>
  <c r="DX42" s="1"/>
  <c r="DY42" s="1"/>
  <c r="DZ42" s="1"/>
  <c r="EA42" s="1"/>
  <c r="EB42" s="1"/>
  <c r="EC42" s="1"/>
  <c r="ED42" s="1"/>
  <c r="EE42" s="1"/>
  <c r="EF42" s="1"/>
  <c r="EG42" s="1"/>
  <c r="EH42" s="1"/>
  <c r="DE44"/>
  <c r="DF44" s="1"/>
  <c r="DG44" s="1"/>
  <c r="DH44" s="1"/>
  <c r="DI44" s="1"/>
  <c r="DJ44" s="1"/>
  <c r="DK44" s="1"/>
  <c r="DL44" s="1"/>
  <c r="DM44" s="1"/>
  <c r="DN44" s="1"/>
  <c r="DO44" s="1"/>
  <c r="DP44" s="1"/>
  <c r="DQ44" s="1"/>
  <c r="DR44" s="1"/>
  <c r="DS44" s="1"/>
  <c r="DT44" s="1"/>
  <c r="DU44" s="1"/>
  <c r="DV44" s="1"/>
  <c r="DW44" s="1"/>
  <c r="DX44" s="1"/>
  <c r="DY44" s="1"/>
  <c r="DZ44" s="1"/>
  <c r="EA44" s="1"/>
  <c r="EB44" s="1"/>
  <c r="EC44" s="1"/>
  <c r="ED44" s="1"/>
  <c r="EE44" s="1"/>
  <c r="EF44" s="1"/>
  <c r="EG44" s="1"/>
  <c r="DE48"/>
  <c r="DF48" s="1"/>
  <c r="DG48" s="1"/>
  <c r="DH48" s="1"/>
  <c r="DI48" s="1"/>
  <c r="DJ48" s="1"/>
  <c r="DK48" s="1"/>
  <c r="DL48" s="1"/>
  <c r="DM48" s="1"/>
  <c r="DN48" s="1"/>
  <c r="DO48" s="1"/>
  <c r="DP48" s="1"/>
  <c r="DQ48" s="1"/>
  <c r="DR48" s="1"/>
  <c r="DS48" s="1"/>
  <c r="DT48" s="1"/>
  <c r="DU48" s="1"/>
  <c r="DV48" s="1"/>
  <c r="DW48" s="1"/>
  <c r="DX48" s="1"/>
  <c r="DY48" s="1"/>
  <c r="DZ48" s="1"/>
  <c r="EA48" s="1"/>
  <c r="EB48" s="1"/>
  <c r="EC48" s="1"/>
  <c r="ED48" s="1"/>
  <c r="EE48" s="1"/>
  <c r="EF48" s="1"/>
  <c r="EG48" s="1"/>
  <c r="EH48" s="1"/>
  <c r="CS67"/>
  <c r="CT67" s="1"/>
  <c r="CU67" s="1"/>
  <c r="CV67" s="1"/>
  <c r="CW67" s="1"/>
  <c r="CX67" s="1"/>
  <c r="CY67" s="1"/>
  <c r="CY53"/>
  <c r="DE69"/>
  <c r="DF69" s="1"/>
  <c r="DG69" s="1"/>
  <c r="DH69" s="1"/>
  <c r="DI69" s="1"/>
  <c r="DJ69" s="1"/>
  <c r="DK69" s="1"/>
  <c r="DL69" s="1"/>
  <c r="DM69" s="1"/>
  <c r="DN69" s="1"/>
  <c r="DO69" s="1"/>
  <c r="DP69" s="1"/>
  <c r="DQ69" s="1"/>
  <c r="DR69" s="1"/>
  <c r="DS69" s="1"/>
  <c r="DT69" s="1"/>
  <c r="DU69" s="1"/>
  <c r="DV69" s="1"/>
  <c r="DW69" s="1"/>
  <c r="DX69" s="1"/>
  <c r="DY69" s="1"/>
  <c r="DZ69" s="1"/>
  <c r="EA69" s="1"/>
  <c r="EB69" s="1"/>
  <c r="EC69" s="1"/>
  <c r="ED69" s="1"/>
  <c r="EE69" s="1"/>
  <c r="EF69" s="1"/>
  <c r="EG69" s="1"/>
  <c r="EH69" s="1"/>
  <c r="DE49"/>
  <c r="DF49" s="1"/>
  <c r="DG49" s="1"/>
  <c r="DH49" s="1"/>
  <c r="DI49" s="1"/>
  <c r="DJ49" s="1"/>
  <c r="DK49" s="1"/>
  <c r="DL49" s="1"/>
  <c r="DM49" s="1"/>
  <c r="DN49" s="1"/>
  <c r="DO49" s="1"/>
  <c r="DP49" s="1"/>
  <c r="DQ49" s="1"/>
  <c r="DR49" s="1"/>
  <c r="DS49" s="1"/>
  <c r="DT49" s="1"/>
  <c r="DU49" s="1"/>
  <c r="DV49" s="1"/>
  <c r="DW49" s="1"/>
  <c r="DX49" s="1"/>
  <c r="DY49" s="1"/>
  <c r="DZ49" s="1"/>
  <c r="EA49" s="1"/>
  <c r="EB49" s="1"/>
  <c r="EC49" s="1"/>
  <c r="ED49" s="1"/>
  <c r="EE49" s="1"/>
  <c r="EF49" s="1"/>
  <c r="EG49" s="1"/>
  <c r="EH49" s="1"/>
  <c r="DE43"/>
  <c r="DF43" s="1"/>
  <c r="DG43" s="1"/>
  <c r="DH43" s="1"/>
  <c r="DI43" s="1"/>
  <c r="DJ43" s="1"/>
  <c r="DK43" s="1"/>
  <c r="DL43" s="1"/>
  <c r="DM43" s="1"/>
  <c r="DN43" s="1"/>
  <c r="DO43" s="1"/>
  <c r="DP43" s="1"/>
  <c r="DQ43" s="1"/>
  <c r="DR43" s="1"/>
  <c r="DS43" s="1"/>
  <c r="DT43" s="1"/>
  <c r="DU43" s="1"/>
  <c r="DV43" s="1"/>
  <c r="DW43" s="1"/>
  <c r="DX43" s="1"/>
  <c r="DY43" s="1"/>
  <c r="DZ43" s="1"/>
  <c r="EA43" s="1"/>
  <c r="EB43" s="1"/>
  <c r="EC43" s="1"/>
  <c r="ED43" s="1"/>
  <c r="DE47"/>
  <c r="DF47" s="1"/>
  <c r="DG47" s="1"/>
  <c r="DH47" s="1"/>
  <c r="DI47" s="1"/>
  <c r="DJ47" s="1"/>
  <c r="DK47" s="1"/>
  <c r="DL47" s="1"/>
  <c r="DM47" s="1"/>
  <c r="DN47" s="1"/>
  <c r="DO47" s="1"/>
  <c r="DP47" s="1"/>
  <c r="DQ47" s="1"/>
  <c r="DR47" s="1"/>
  <c r="DS47" s="1"/>
  <c r="DT47" s="1"/>
  <c r="DU47" s="1"/>
  <c r="DV47" s="1"/>
  <c r="DW47" s="1"/>
  <c r="DX47" s="1"/>
  <c r="DY47" s="1"/>
  <c r="DZ47" s="1"/>
  <c r="EA47" s="1"/>
  <c r="EB47" s="1"/>
  <c r="EC47" s="1"/>
  <c r="ED47" s="1"/>
  <c r="EE47" s="1"/>
  <c r="EF47" s="1"/>
  <c r="EG47" s="1"/>
  <c r="EH47" s="1"/>
  <c r="DE53"/>
  <c r="DF53" s="1"/>
  <c r="DG53" s="1"/>
  <c r="DH53" s="1"/>
  <c r="DI53" s="1"/>
  <c r="DJ53" s="1"/>
  <c r="DK53" s="1"/>
  <c r="DL53" s="1"/>
  <c r="DM53" s="1"/>
  <c r="DN53" s="1"/>
  <c r="DO53" s="1"/>
  <c r="DP53" s="1"/>
  <c r="DQ53" s="1"/>
  <c r="DR53" s="1"/>
  <c r="DS53" s="1"/>
  <c r="DT53" s="1"/>
  <c r="DU53" s="1"/>
  <c r="DV53" s="1"/>
  <c r="DW53" s="1"/>
  <c r="DX53" s="1"/>
  <c r="DY53" s="1"/>
  <c r="DZ53" s="1"/>
  <c r="EA53" s="1"/>
  <c r="EB53" s="1"/>
  <c r="EC53" s="1"/>
  <c r="ED53" s="1"/>
  <c r="EE53" s="1"/>
  <c r="EF53" s="1"/>
  <c r="EG53" s="1"/>
  <c r="CY44"/>
  <c r="CO54"/>
  <c r="CP54" s="1"/>
  <c r="CQ54" s="1"/>
  <c r="CR54" s="1"/>
  <c r="CS54" s="1"/>
  <c r="CT54" s="1"/>
  <c r="CU54" s="1"/>
  <c r="CV54" s="1"/>
  <c r="CW54" s="1"/>
  <c r="CX54" s="1"/>
  <c r="CY54" s="1"/>
  <c r="CN51"/>
  <c r="CO51" s="1"/>
  <c r="CP51" s="1"/>
  <c r="CQ51" s="1"/>
  <c r="CR51" s="1"/>
  <c r="CS51" s="1"/>
  <c r="CT51" s="1"/>
  <c r="CU51" s="1"/>
  <c r="CV51" s="1"/>
  <c r="CW51" s="1"/>
  <c r="CX51" s="1"/>
  <c r="CY51" s="1"/>
  <c r="BW60"/>
  <c r="BX60" s="1"/>
  <c r="BY60" s="1"/>
  <c r="BZ60" s="1"/>
  <c r="CA60" s="1"/>
  <c r="CB60" s="1"/>
  <c r="CC60" s="1"/>
  <c r="CD60" s="1"/>
  <c r="CE60" s="1"/>
  <c r="CF60" s="1"/>
  <c r="CG60" s="1"/>
  <c r="CH60" s="1"/>
  <c r="CI60" s="1"/>
  <c r="CJ60" s="1"/>
  <c r="CK60" s="1"/>
  <c r="CL60" s="1"/>
  <c r="CM60" s="1"/>
  <c r="CN60" s="1"/>
  <c r="CO60" s="1"/>
  <c r="CP60" s="1"/>
  <c r="CQ60" s="1"/>
  <c r="CR60" s="1"/>
  <c r="CS60" s="1"/>
  <c r="CT60" s="1"/>
  <c r="CU60" s="1"/>
  <c r="CV60" s="1"/>
  <c r="CW60" s="1"/>
  <c r="CX60" s="1"/>
  <c r="CY60" s="1"/>
  <c r="BW46"/>
  <c r="BX46" s="1"/>
  <c r="BY46" s="1"/>
  <c r="BZ46" s="1"/>
  <c r="CA46" s="1"/>
  <c r="CB46" s="1"/>
  <c r="CC46" s="1"/>
  <c r="CD46" s="1"/>
  <c r="CE46" s="1"/>
  <c r="CF46" s="1"/>
  <c r="CG46" s="1"/>
  <c r="CH46" s="1"/>
  <c r="CI46" s="1"/>
  <c r="CJ46" s="1"/>
  <c r="CK46" s="1"/>
  <c r="CL46" s="1"/>
  <c r="CM46" s="1"/>
  <c r="CN46" s="1"/>
  <c r="CO46" s="1"/>
  <c r="CP46" s="1"/>
  <c r="CQ46" s="1"/>
  <c r="CR46" s="1"/>
  <c r="CS46" s="1"/>
  <c r="CT46" s="1"/>
  <c r="CU46" s="1"/>
  <c r="CV46" s="1"/>
  <c r="CW46" s="1"/>
  <c r="CX46" s="1"/>
  <c r="CJ103"/>
  <c r="CJ102" s="1"/>
  <c r="CJ101" s="1"/>
  <c r="CJ100" s="1"/>
  <c r="CJ99" s="1"/>
  <c r="CJ98" s="1"/>
  <c r="CJ97" s="1"/>
  <c r="CJ96" s="1"/>
  <c r="CJ95" s="1"/>
  <c r="CJ94" s="1"/>
  <c r="CJ93" s="1"/>
  <c r="CJ92" s="1"/>
  <c r="CJ91" s="1"/>
  <c r="CJ90" s="1"/>
  <c r="CJ89" s="1"/>
  <c r="CJ88" s="1"/>
  <c r="CJ87" s="1"/>
  <c r="CJ86" s="1"/>
  <c r="CJ85" s="1"/>
  <c r="CJ84" s="1"/>
  <c r="CJ83" s="1"/>
  <c r="CJ82" s="1"/>
  <c r="CJ81" s="1"/>
  <c r="CJ80" s="1"/>
  <c r="CJ79" s="1"/>
  <c r="CJ78" s="1"/>
  <c r="CJ77" s="1"/>
  <c r="CJ76" s="1"/>
  <c r="CJ75" s="1"/>
  <c r="CJ74" s="1"/>
  <c r="CG103"/>
  <c r="CG102" s="1"/>
  <c r="CG101" s="1"/>
  <c r="CG100" s="1"/>
  <c r="CG99" s="1"/>
  <c r="CG98" s="1"/>
  <c r="CG97" s="1"/>
  <c r="CG96" s="1"/>
  <c r="CG95" s="1"/>
  <c r="CG94" s="1"/>
  <c r="CG93" s="1"/>
  <c r="CG92" s="1"/>
  <c r="CG91" s="1"/>
  <c r="CG90" s="1"/>
  <c r="CG89" s="1"/>
  <c r="CG88" s="1"/>
  <c r="CG87" s="1"/>
  <c r="CG86" s="1"/>
  <c r="CG85" s="1"/>
  <c r="CG84" s="1"/>
  <c r="CG83" s="1"/>
  <c r="CG82" s="1"/>
  <c r="CG81" s="1"/>
  <c r="CG80" s="1"/>
  <c r="CG79" s="1"/>
  <c r="CG78" s="1"/>
  <c r="CG77" s="1"/>
  <c r="CG76" s="1"/>
  <c r="CG75" s="1"/>
  <c r="CG74" s="1"/>
  <c r="DE40"/>
  <c r="DF40" s="1"/>
  <c r="DG40" s="1"/>
  <c r="DH40" s="1"/>
  <c r="DI40" s="1"/>
  <c r="DJ40" s="1"/>
  <c r="DK40" s="1"/>
  <c r="DL40" s="1"/>
  <c r="DM40" s="1"/>
  <c r="DN40" s="1"/>
  <c r="DO40" s="1"/>
  <c r="DP40" s="1"/>
  <c r="DQ40" s="1"/>
  <c r="DR40" s="1"/>
  <c r="DS40" s="1"/>
  <c r="DT40" s="1"/>
  <c r="DU40" s="1"/>
  <c r="DV40" s="1"/>
  <c r="DW40" s="1"/>
  <c r="DX40" s="1"/>
  <c r="DY40" s="1"/>
  <c r="DZ40" s="1"/>
  <c r="EA40" s="1"/>
  <c r="EB40" s="1"/>
  <c r="EC40" s="1"/>
  <c r="ED40" s="1"/>
  <c r="EE40" s="1"/>
  <c r="EF40" s="1"/>
  <c r="EG40" s="1"/>
  <c r="DE58"/>
  <c r="DF58" s="1"/>
  <c r="DG58" s="1"/>
  <c r="DH58" s="1"/>
  <c r="DI58" s="1"/>
  <c r="DJ58" s="1"/>
  <c r="DK58" s="1"/>
  <c r="DL58" s="1"/>
  <c r="DM58" s="1"/>
  <c r="DN58" s="1"/>
  <c r="DO58" s="1"/>
  <c r="DP58" s="1"/>
  <c r="DQ58" s="1"/>
  <c r="DR58" s="1"/>
  <c r="DS58" s="1"/>
  <c r="DT58" s="1"/>
  <c r="DU58" s="1"/>
  <c r="DV58" s="1"/>
  <c r="DW58" s="1"/>
  <c r="DX58" s="1"/>
  <c r="DY58" s="1"/>
  <c r="DZ58" s="1"/>
  <c r="EA58" s="1"/>
  <c r="EB58" s="1"/>
  <c r="EC58" s="1"/>
  <c r="ED58" s="1"/>
  <c r="EE58" s="1"/>
  <c r="EF58" s="1"/>
  <c r="DF62"/>
  <c r="DG62" s="1"/>
  <c r="DH62" s="1"/>
  <c r="DI62" s="1"/>
  <c r="DJ62" s="1"/>
  <c r="DK62" s="1"/>
  <c r="DL62" s="1"/>
  <c r="DM62" s="1"/>
  <c r="DN62" s="1"/>
  <c r="DO62" s="1"/>
  <c r="DP62" s="1"/>
  <c r="DQ62" s="1"/>
  <c r="DR62" s="1"/>
  <c r="DS62" s="1"/>
  <c r="DT62" s="1"/>
  <c r="DU62" s="1"/>
  <c r="DV62" s="1"/>
  <c r="DW62" s="1"/>
  <c r="DX62" s="1"/>
  <c r="DY62" s="1"/>
  <c r="DZ62" s="1"/>
  <c r="EA62" s="1"/>
  <c r="EB62" s="1"/>
  <c r="EC62" s="1"/>
  <c r="ED62" s="1"/>
  <c r="EE62" s="1"/>
  <c r="EF62" s="1"/>
  <c r="EG62" s="1"/>
  <c r="EH62" s="1"/>
  <c r="DF59"/>
  <c r="DG59" s="1"/>
  <c r="DH59" s="1"/>
  <c r="DI59" s="1"/>
  <c r="DJ59" s="1"/>
  <c r="DK59" s="1"/>
  <c r="DL59" s="1"/>
  <c r="DM59" s="1"/>
  <c r="DN59" s="1"/>
  <c r="DO59" s="1"/>
  <c r="DP59" s="1"/>
  <c r="DQ59" s="1"/>
  <c r="DR59" s="1"/>
  <c r="DS59" s="1"/>
  <c r="DT59" s="1"/>
  <c r="DU59" s="1"/>
  <c r="DV59" s="1"/>
  <c r="DW59" s="1"/>
  <c r="DX59" s="1"/>
  <c r="DY59" s="1"/>
  <c r="DZ59" s="1"/>
  <c r="EA59" s="1"/>
  <c r="EB59" s="1"/>
  <c r="EC59" s="1"/>
  <c r="ED59" s="1"/>
  <c r="EE59" s="1"/>
  <c r="EF59" s="1"/>
  <c r="EG59" s="1"/>
  <c r="EH59" s="1"/>
  <c r="DF64"/>
  <c r="DG64" s="1"/>
  <c r="DH64" s="1"/>
  <c r="DI64" s="1"/>
  <c r="DJ64" s="1"/>
  <c r="DK64" s="1"/>
  <c r="DL64" s="1"/>
  <c r="DM64" s="1"/>
  <c r="DN64" s="1"/>
  <c r="DO64" s="1"/>
  <c r="DP64" s="1"/>
  <c r="DQ64" s="1"/>
  <c r="DR64" s="1"/>
  <c r="DS64" s="1"/>
  <c r="DT64" s="1"/>
  <c r="DU64" s="1"/>
  <c r="DV64" s="1"/>
  <c r="DW64" s="1"/>
  <c r="DX64" s="1"/>
  <c r="DY64" s="1"/>
  <c r="DZ64" s="1"/>
  <c r="EA64" s="1"/>
  <c r="EB64" s="1"/>
  <c r="EC64" s="1"/>
  <c r="ED64" s="1"/>
  <c r="EE64" s="1"/>
  <c r="EF64" s="1"/>
  <c r="EG64" s="1"/>
  <c r="EH64" s="1"/>
  <c r="CX58"/>
  <c r="CY58" s="1"/>
  <c r="CV43"/>
  <c r="CW43" s="1"/>
  <c r="CX43" s="1"/>
  <c r="EH44" l="1"/>
  <c r="EH61"/>
  <c r="EH102"/>
  <c r="EH101" s="1"/>
  <c r="EH100" s="1"/>
  <c r="EH99" s="1"/>
  <c r="EH98" s="1"/>
  <c r="EH97" s="1"/>
  <c r="EH96" s="1"/>
  <c r="EH95" s="1"/>
  <c r="EH94" s="1"/>
  <c r="EH93" s="1"/>
  <c r="EH92" s="1"/>
  <c r="EH91" s="1"/>
  <c r="EH90" s="1"/>
  <c r="EH89" s="1"/>
  <c r="EH88" s="1"/>
  <c r="EH87" s="1"/>
  <c r="EH86" s="1"/>
  <c r="EH85" s="1"/>
  <c r="EH84" s="1"/>
  <c r="EH83" s="1"/>
  <c r="EH82" s="1"/>
  <c r="EH81" s="1"/>
  <c r="EH80" s="1"/>
  <c r="EH79" s="1"/>
  <c r="EH78" s="1"/>
  <c r="EH77" s="1"/>
  <c r="EH76" s="1"/>
  <c r="EH75" s="1"/>
  <c r="EH74" s="1"/>
  <c r="EH53"/>
  <c r="EB50"/>
  <c r="EC50" s="1"/>
  <c r="ED50" s="1"/>
  <c r="EE50" s="1"/>
  <c r="EF50" s="1"/>
  <c r="EG50" s="1"/>
  <c r="EH50" s="1"/>
  <c r="AJ55"/>
  <c r="AI55" s="1"/>
  <c r="BP90" s="1"/>
  <c r="AJ48"/>
  <c r="BQ83" s="1"/>
  <c r="AJ66"/>
  <c r="BQ101" s="1"/>
  <c r="CY46"/>
  <c r="EG58"/>
  <c r="EH58" s="1"/>
  <c r="EE43"/>
  <c r="EF43" s="1"/>
  <c r="EG43" s="1"/>
  <c r="AJ59"/>
  <c r="DF46"/>
  <c r="DG46" s="1"/>
  <c r="DH46" s="1"/>
  <c r="DI46" s="1"/>
  <c r="DJ46" s="1"/>
  <c r="DK46" s="1"/>
  <c r="DL46" s="1"/>
  <c r="DM46" s="1"/>
  <c r="DN46" s="1"/>
  <c r="DO46" s="1"/>
  <c r="DP46" s="1"/>
  <c r="DQ46" s="1"/>
  <c r="DR46" s="1"/>
  <c r="DS46" s="1"/>
  <c r="DT46" s="1"/>
  <c r="DU46" s="1"/>
  <c r="DV46" s="1"/>
  <c r="DW46" s="1"/>
  <c r="DX46" s="1"/>
  <c r="DY46" s="1"/>
  <c r="DZ46" s="1"/>
  <c r="EA46" s="1"/>
  <c r="EB46" s="1"/>
  <c r="EC46" s="1"/>
  <c r="ED46" s="1"/>
  <c r="EE46" s="1"/>
  <c r="EF46" s="1"/>
  <c r="EG46" s="1"/>
  <c r="EH46" s="1"/>
  <c r="AJ47"/>
  <c r="AJ63"/>
  <c r="AJ52"/>
  <c r="AJ53"/>
  <c r="EB67"/>
  <c r="EC67" s="1"/>
  <c r="ED67" s="1"/>
  <c r="EE67" s="1"/>
  <c r="EF67" s="1"/>
  <c r="EG67" s="1"/>
  <c r="EH67" s="1"/>
  <c r="AJ69"/>
  <c r="AJ45"/>
  <c r="AJ65"/>
  <c r="AJ50"/>
  <c r="DW51"/>
  <c r="DX51" s="1"/>
  <c r="DY51" s="1"/>
  <c r="DZ51" s="1"/>
  <c r="EA51" s="1"/>
  <c r="EB51" s="1"/>
  <c r="EC51" s="1"/>
  <c r="ED51" s="1"/>
  <c r="EE51" s="1"/>
  <c r="EF51" s="1"/>
  <c r="EG51" s="1"/>
  <c r="EH51" s="1"/>
  <c r="ED57"/>
  <c r="EE57" s="1"/>
  <c r="EF57" s="1"/>
  <c r="EG57" s="1"/>
  <c r="EH57" s="1"/>
  <c r="AJ64"/>
  <c r="AJ41"/>
  <c r="AJ39"/>
  <c r="EH40"/>
  <c r="AJ40"/>
  <c r="EH56"/>
  <c r="AJ56"/>
  <c r="AJ44"/>
  <c r="DF60"/>
  <c r="DG60" s="1"/>
  <c r="DH60" s="1"/>
  <c r="DI60" s="1"/>
  <c r="DJ60" s="1"/>
  <c r="DK60" s="1"/>
  <c r="DL60" s="1"/>
  <c r="DM60" s="1"/>
  <c r="DN60" s="1"/>
  <c r="DO60" s="1"/>
  <c r="DP60" s="1"/>
  <c r="DQ60" s="1"/>
  <c r="DR60" s="1"/>
  <c r="DS60" s="1"/>
  <c r="DT60" s="1"/>
  <c r="DU60" s="1"/>
  <c r="DV60" s="1"/>
  <c r="DW60" s="1"/>
  <c r="DX60" s="1"/>
  <c r="DY60" s="1"/>
  <c r="DZ60" s="1"/>
  <c r="EA60" s="1"/>
  <c r="EB60" s="1"/>
  <c r="EC60" s="1"/>
  <c r="ED60" s="1"/>
  <c r="EE60" s="1"/>
  <c r="EF60" s="1"/>
  <c r="EG60" s="1"/>
  <c r="EH60" s="1"/>
  <c r="AJ61"/>
  <c r="AJ49"/>
  <c r="DX54"/>
  <c r="DY54" s="1"/>
  <c r="DZ54" s="1"/>
  <c r="EA54" s="1"/>
  <c r="EB54" s="1"/>
  <c r="EC54" s="1"/>
  <c r="ED54" s="1"/>
  <c r="EE54" s="1"/>
  <c r="EF54" s="1"/>
  <c r="EG54" s="1"/>
  <c r="EH54" s="1"/>
  <c r="AJ68"/>
  <c r="AJ62"/>
  <c r="AJ42"/>
  <c r="CY43"/>
  <c r="BQ90" l="1"/>
  <c r="AH55"/>
  <c r="BO90" s="1"/>
  <c r="AI48"/>
  <c r="BP83" s="1"/>
  <c r="AI66"/>
  <c r="AJ57"/>
  <c r="BQ92" s="1"/>
  <c r="AJ43"/>
  <c r="BQ78" s="1"/>
  <c r="AJ67"/>
  <c r="BQ102" s="1"/>
  <c r="BQ97"/>
  <c r="AI62"/>
  <c r="BQ96"/>
  <c r="AI61"/>
  <c r="BQ76"/>
  <c r="AI41"/>
  <c r="BQ85"/>
  <c r="AI50"/>
  <c r="BQ104"/>
  <c r="AI69"/>
  <c r="BQ98"/>
  <c r="AI63"/>
  <c r="AI42"/>
  <c r="BQ77"/>
  <c r="BQ84"/>
  <c r="AI49"/>
  <c r="AI56"/>
  <c r="BQ91"/>
  <c r="BQ74"/>
  <c r="AI39"/>
  <c r="BQ80"/>
  <c r="AI45"/>
  <c r="BQ87"/>
  <c r="AI52"/>
  <c r="BQ94"/>
  <c r="AI59"/>
  <c r="AI44"/>
  <c r="BQ79"/>
  <c r="BQ100"/>
  <c r="AI65"/>
  <c r="AI53"/>
  <c r="BQ88"/>
  <c r="BQ103"/>
  <c r="EG103" s="1"/>
  <c r="AI68"/>
  <c r="BQ75"/>
  <c r="AI40"/>
  <c r="BQ99"/>
  <c r="AI64"/>
  <c r="BQ82"/>
  <c r="AI47"/>
  <c r="AJ51"/>
  <c r="AJ54"/>
  <c r="AJ60"/>
  <c r="AJ58"/>
  <c r="EH43"/>
  <c r="AJ46"/>
  <c r="AG55" l="1"/>
  <c r="BN90" s="1"/>
  <c r="AH48"/>
  <c r="BO83" s="1"/>
  <c r="AF55"/>
  <c r="BM90" s="1"/>
  <c r="BP101"/>
  <c r="AH66"/>
  <c r="AI57"/>
  <c r="BP92" s="1"/>
  <c r="AI43"/>
  <c r="BP78" s="1"/>
  <c r="AI67"/>
  <c r="AH67" s="1"/>
  <c r="EG102"/>
  <c r="EG101" s="1"/>
  <c r="EG100" s="1"/>
  <c r="EG99" s="1"/>
  <c r="EG98" s="1"/>
  <c r="EG97" s="1"/>
  <c r="EG96" s="1"/>
  <c r="AH56"/>
  <c r="BP91"/>
  <c r="BQ86"/>
  <c r="AI51"/>
  <c r="BP103"/>
  <c r="EF103" s="1"/>
  <c r="AH68"/>
  <c r="BP100"/>
  <c r="AH65"/>
  <c r="BP80"/>
  <c r="AH45"/>
  <c r="BQ81"/>
  <c r="AI46"/>
  <c r="BQ89"/>
  <c r="AI54"/>
  <c r="BP88"/>
  <c r="AH53"/>
  <c r="AH44"/>
  <c r="BP79"/>
  <c r="BQ95"/>
  <c r="AI60"/>
  <c r="AH47"/>
  <c r="BP82"/>
  <c r="AH40"/>
  <c r="BP75"/>
  <c r="BP87"/>
  <c r="AH52"/>
  <c r="BP74"/>
  <c r="AH39"/>
  <c r="BP84"/>
  <c r="AH49"/>
  <c r="BP104"/>
  <c r="AH69"/>
  <c r="BP76"/>
  <c r="AH41"/>
  <c r="BP97"/>
  <c r="AH62"/>
  <c r="BQ93"/>
  <c r="AI58"/>
  <c r="BP77"/>
  <c r="AH42"/>
  <c r="BP99"/>
  <c r="AH64"/>
  <c r="BP94"/>
  <c r="AH59"/>
  <c r="BP98"/>
  <c r="AH63"/>
  <c r="BP85"/>
  <c r="AH50"/>
  <c r="BP96"/>
  <c r="AH61"/>
  <c r="AG48" l="1"/>
  <c r="BN83" s="1"/>
  <c r="AE55"/>
  <c r="BL90" s="1"/>
  <c r="AH43"/>
  <c r="BO78" s="1"/>
  <c r="AH57"/>
  <c r="BO92" s="1"/>
  <c r="BO101"/>
  <c r="AG66"/>
  <c r="BP102"/>
  <c r="EF102" s="1"/>
  <c r="EF101" s="1"/>
  <c r="EF100" s="1"/>
  <c r="EF99" s="1"/>
  <c r="EF98" s="1"/>
  <c r="EF97" s="1"/>
  <c r="EF96" s="1"/>
  <c r="EG95"/>
  <c r="EG94" s="1"/>
  <c r="EG93" s="1"/>
  <c r="EG92" s="1"/>
  <c r="EG91" s="1"/>
  <c r="EG90" s="1"/>
  <c r="EG89" s="1"/>
  <c r="EG88" s="1"/>
  <c r="EG87" s="1"/>
  <c r="EG86" s="1"/>
  <c r="EG85" s="1"/>
  <c r="EG84" s="1"/>
  <c r="EG83" s="1"/>
  <c r="EG82" s="1"/>
  <c r="EG81" s="1"/>
  <c r="EG80" s="1"/>
  <c r="EG79" s="1"/>
  <c r="EG78" s="1"/>
  <c r="EG77" s="1"/>
  <c r="EG76" s="1"/>
  <c r="EG75" s="1"/>
  <c r="AJ74" s="1"/>
  <c r="AJ75" s="1"/>
  <c r="AJ76" s="1"/>
  <c r="AJ77" s="1"/>
  <c r="AJ78" s="1"/>
  <c r="AJ79" s="1"/>
  <c r="AJ80" s="1"/>
  <c r="AJ81" s="1"/>
  <c r="AJ82" s="1"/>
  <c r="AJ83" s="1"/>
  <c r="AJ84" s="1"/>
  <c r="AJ85" s="1"/>
  <c r="AJ86" s="1"/>
  <c r="AJ87" s="1"/>
  <c r="AJ88" s="1"/>
  <c r="AJ89" s="1"/>
  <c r="AJ90" s="1"/>
  <c r="AJ91" s="1"/>
  <c r="AJ92" s="1"/>
  <c r="AJ93" s="1"/>
  <c r="AJ94" s="1"/>
  <c r="AJ95" s="1"/>
  <c r="AJ96" s="1"/>
  <c r="AJ97" s="1"/>
  <c r="AJ98" s="1"/>
  <c r="AJ99" s="1"/>
  <c r="AJ100" s="1"/>
  <c r="AJ101" s="1"/>
  <c r="AJ102" s="1"/>
  <c r="AJ103" s="1"/>
  <c r="AJ104" s="1"/>
  <c r="BO94"/>
  <c r="AG59"/>
  <c r="BO104"/>
  <c r="AG69"/>
  <c r="BO96"/>
  <c r="AG61"/>
  <c r="BO98"/>
  <c r="AG63"/>
  <c r="BO99"/>
  <c r="AG64"/>
  <c r="BP93"/>
  <c r="AH58"/>
  <c r="BO76"/>
  <c r="AG41"/>
  <c r="BO102"/>
  <c r="AG67"/>
  <c r="BO74"/>
  <c r="AG39"/>
  <c r="BP95"/>
  <c r="AH60"/>
  <c r="AG44"/>
  <c r="BO79"/>
  <c r="AG56"/>
  <c r="BO91"/>
  <c r="BO85"/>
  <c r="AG50"/>
  <c r="AG62"/>
  <c r="BO97"/>
  <c r="AG47"/>
  <c r="BO82"/>
  <c r="BP89"/>
  <c r="AH54"/>
  <c r="BO80"/>
  <c r="AG45"/>
  <c r="BO103"/>
  <c r="EE103" s="1"/>
  <c r="AG68"/>
  <c r="BO77"/>
  <c r="AG42"/>
  <c r="BO84"/>
  <c r="AG49"/>
  <c r="BO87"/>
  <c r="AG52"/>
  <c r="AG40"/>
  <c r="BO75"/>
  <c r="BO88"/>
  <c r="AG53"/>
  <c r="BP81"/>
  <c r="AH46"/>
  <c r="BO100"/>
  <c r="AG65"/>
  <c r="BP86"/>
  <c r="AH51"/>
  <c r="AG43" l="1"/>
  <c r="BN78" s="1"/>
  <c r="AD55"/>
  <c r="BK90" s="1"/>
  <c r="AF48"/>
  <c r="BM83" s="1"/>
  <c r="AG57"/>
  <c r="BN92" s="1"/>
  <c r="BN101"/>
  <c r="AF66"/>
  <c r="EG74"/>
  <c r="EF95"/>
  <c r="EF94" s="1"/>
  <c r="EF93" s="1"/>
  <c r="EF92" s="1"/>
  <c r="EF91" s="1"/>
  <c r="EF90" s="1"/>
  <c r="EF89" s="1"/>
  <c r="EF88" s="1"/>
  <c r="EF87" s="1"/>
  <c r="EF86" s="1"/>
  <c r="EF85" s="1"/>
  <c r="EF84" s="1"/>
  <c r="EF83" s="1"/>
  <c r="EF82" s="1"/>
  <c r="EF81" s="1"/>
  <c r="EF80" s="1"/>
  <c r="EF79" s="1"/>
  <c r="EF78" s="1"/>
  <c r="EF77" s="1"/>
  <c r="EF76" s="1"/>
  <c r="EF75" s="1"/>
  <c r="EE102"/>
  <c r="EE101" s="1"/>
  <c r="EE100" s="1"/>
  <c r="EE99" s="1"/>
  <c r="EE98" s="1"/>
  <c r="EE97" s="1"/>
  <c r="EE96" s="1"/>
  <c r="BN79"/>
  <c r="AF44"/>
  <c r="BN74"/>
  <c r="AF39"/>
  <c r="BN76"/>
  <c r="AF41"/>
  <c r="BN99"/>
  <c r="AF64"/>
  <c r="BN94"/>
  <c r="AF59"/>
  <c r="AF47"/>
  <c r="BN82"/>
  <c r="AF56"/>
  <c r="BN91"/>
  <c r="AF40"/>
  <c r="BN75"/>
  <c r="BN100"/>
  <c r="AF65"/>
  <c r="BN88"/>
  <c r="AF53"/>
  <c r="BN87"/>
  <c r="AF52"/>
  <c r="BN77"/>
  <c r="AF42"/>
  <c r="BN80"/>
  <c r="AF45"/>
  <c r="BN85"/>
  <c r="AF50"/>
  <c r="BO95"/>
  <c r="AG60"/>
  <c r="BN102"/>
  <c r="AF67"/>
  <c r="BO93"/>
  <c r="AG58"/>
  <c r="BN98"/>
  <c r="AF63"/>
  <c r="BN104"/>
  <c r="AF69"/>
  <c r="AF62"/>
  <c r="BN97"/>
  <c r="BO86"/>
  <c r="AG51"/>
  <c r="BO81"/>
  <c r="AG46"/>
  <c r="BN84"/>
  <c r="AF49"/>
  <c r="BN103"/>
  <c r="ED103" s="1"/>
  <c r="AF68"/>
  <c r="BO89"/>
  <c r="AG54"/>
  <c r="BN96"/>
  <c r="AF61"/>
  <c r="AF57" l="1"/>
  <c r="BM92" s="1"/>
  <c r="AF43"/>
  <c r="BM78" s="1"/>
  <c r="AC55"/>
  <c r="BJ90" s="1"/>
  <c r="AE48"/>
  <c r="BL83" s="1"/>
  <c r="ED102"/>
  <c r="ED101" s="1"/>
  <c r="ED100" s="1"/>
  <c r="ED99" s="1"/>
  <c r="ED98" s="1"/>
  <c r="ED97" s="1"/>
  <c r="ED96" s="1"/>
  <c r="BM101"/>
  <c r="AE66"/>
  <c r="EE95"/>
  <c r="EE94" s="1"/>
  <c r="EE93" s="1"/>
  <c r="EE92" s="1"/>
  <c r="EE91" s="1"/>
  <c r="EE90" s="1"/>
  <c r="EE89" s="1"/>
  <c r="EE88" s="1"/>
  <c r="EE87" s="1"/>
  <c r="EE86" s="1"/>
  <c r="EE85" s="1"/>
  <c r="EE84" s="1"/>
  <c r="EE83" s="1"/>
  <c r="EE82" s="1"/>
  <c r="EE81" s="1"/>
  <c r="EE80" s="1"/>
  <c r="EE79" s="1"/>
  <c r="EE78" s="1"/>
  <c r="EE77" s="1"/>
  <c r="EE76" s="1"/>
  <c r="EE75" s="1"/>
  <c r="EE74" s="1"/>
  <c r="BN89"/>
  <c r="AF54"/>
  <c r="BM84"/>
  <c r="AE49"/>
  <c r="BN86"/>
  <c r="AF51"/>
  <c r="BM104"/>
  <c r="AE69"/>
  <c r="BN93"/>
  <c r="AF58"/>
  <c r="BN95"/>
  <c r="AF60"/>
  <c r="BM80"/>
  <c r="AE45"/>
  <c r="BM87"/>
  <c r="AE52"/>
  <c r="BM100"/>
  <c r="AE65"/>
  <c r="AE56"/>
  <c r="BM91"/>
  <c r="BM97"/>
  <c r="AE62"/>
  <c r="BM75"/>
  <c r="AE40"/>
  <c r="BM94"/>
  <c r="AE59"/>
  <c r="BM76"/>
  <c r="AE41"/>
  <c r="AE44"/>
  <c r="BM79"/>
  <c r="BM96"/>
  <c r="AE61"/>
  <c r="BM103"/>
  <c r="EC103" s="1"/>
  <c r="AE68"/>
  <c r="BN81"/>
  <c r="AF46"/>
  <c r="BM98"/>
  <c r="AE63"/>
  <c r="BM102"/>
  <c r="AE67"/>
  <c r="BM85"/>
  <c r="AE50"/>
  <c r="BM77"/>
  <c r="AE42"/>
  <c r="AE53"/>
  <c r="BM88"/>
  <c r="BM82"/>
  <c r="AE47"/>
  <c r="AI74"/>
  <c r="AI75" s="1"/>
  <c r="AI76" s="1"/>
  <c r="AI77" s="1"/>
  <c r="AI78" s="1"/>
  <c r="AI79" s="1"/>
  <c r="AI80" s="1"/>
  <c r="AI81" s="1"/>
  <c r="AI82" s="1"/>
  <c r="AI83" s="1"/>
  <c r="AI84" s="1"/>
  <c r="AI85" s="1"/>
  <c r="AI86" s="1"/>
  <c r="AI87" s="1"/>
  <c r="AI88" s="1"/>
  <c r="AI89" s="1"/>
  <c r="AI90" s="1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EF74"/>
  <c r="BM99"/>
  <c r="AE64"/>
  <c r="BM74"/>
  <c r="AE39"/>
  <c r="AE57" l="1"/>
  <c r="BL92" s="1"/>
  <c r="AE43"/>
  <c r="BL78" s="1"/>
  <c r="AB55"/>
  <c r="BI90" s="1"/>
  <c r="AD48"/>
  <c r="BK83" s="1"/>
  <c r="BL101"/>
  <c r="AD66"/>
  <c r="ED95"/>
  <c r="ED94" s="1"/>
  <c r="ED93" s="1"/>
  <c r="ED92" s="1"/>
  <c r="ED91" s="1"/>
  <c r="ED90" s="1"/>
  <c r="ED89" s="1"/>
  <c r="ED88" s="1"/>
  <c r="ED87" s="1"/>
  <c r="ED86" s="1"/>
  <c r="ED85" s="1"/>
  <c r="ED84" s="1"/>
  <c r="ED83" s="1"/>
  <c r="ED82" s="1"/>
  <c r="ED81" s="1"/>
  <c r="ED80" s="1"/>
  <c r="ED79" s="1"/>
  <c r="ED78" s="1"/>
  <c r="ED77" s="1"/>
  <c r="ED76" s="1"/>
  <c r="ED75" s="1"/>
  <c r="AH74"/>
  <c r="AH75" s="1"/>
  <c r="AH76" s="1"/>
  <c r="AH77" s="1"/>
  <c r="AH78" s="1"/>
  <c r="AH79" s="1"/>
  <c r="AH80" s="1"/>
  <c r="AH81" s="1"/>
  <c r="AH82" s="1"/>
  <c r="AH83" s="1"/>
  <c r="AH84" s="1"/>
  <c r="AH85" s="1"/>
  <c r="AH86" s="1"/>
  <c r="AH87" s="1"/>
  <c r="AH88" s="1"/>
  <c r="AH89" s="1"/>
  <c r="AH90" s="1"/>
  <c r="AH91" s="1"/>
  <c r="AH92" s="1"/>
  <c r="AH93" s="1"/>
  <c r="AH94" s="1"/>
  <c r="AH95" s="1"/>
  <c r="AH96" s="1"/>
  <c r="AH97" s="1"/>
  <c r="AH98" s="1"/>
  <c r="AH99" s="1"/>
  <c r="AH100" s="1"/>
  <c r="AH101" s="1"/>
  <c r="AH102" s="1"/>
  <c r="AH103" s="1"/>
  <c r="AH104" s="1"/>
  <c r="AD40"/>
  <c r="BL75"/>
  <c r="BM95"/>
  <c r="AE60"/>
  <c r="BL99"/>
  <c r="AD64"/>
  <c r="AD47"/>
  <c r="BL82"/>
  <c r="BL77"/>
  <c r="AD42"/>
  <c r="BM81"/>
  <c r="AE46"/>
  <c r="BL96"/>
  <c r="AD61"/>
  <c r="AD44"/>
  <c r="BL79"/>
  <c r="BL74"/>
  <c r="AD39"/>
  <c r="BL85"/>
  <c r="AD50"/>
  <c r="BL98"/>
  <c r="AD63"/>
  <c r="BL103"/>
  <c r="EB103" s="1"/>
  <c r="AD68"/>
  <c r="AD56"/>
  <c r="BL91"/>
  <c r="BL76"/>
  <c r="AD41"/>
  <c r="BL87"/>
  <c r="AD52"/>
  <c r="BL104"/>
  <c r="AD69"/>
  <c r="BL84"/>
  <c r="AD49"/>
  <c r="BL102"/>
  <c r="AD67"/>
  <c r="AD53"/>
  <c r="BL88"/>
  <c r="BL94"/>
  <c r="AD59"/>
  <c r="AD62"/>
  <c r="BL97"/>
  <c r="BL100"/>
  <c r="AD65"/>
  <c r="BL80"/>
  <c r="AD45"/>
  <c r="BM93"/>
  <c r="AE58"/>
  <c r="BM86"/>
  <c r="AE51"/>
  <c r="BM89"/>
  <c r="AE54"/>
  <c r="EC102"/>
  <c r="EC101" s="1"/>
  <c r="EC100" s="1"/>
  <c r="EC99" s="1"/>
  <c r="EC98" s="1"/>
  <c r="EC97" s="1"/>
  <c r="EC96" s="1"/>
  <c r="AD57" l="1"/>
  <c r="BK92" s="1"/>
  <c r="AD43"/>
  <c r="BK78" s="1"/>
  <c r="AC48"/>
  <c r="BJ83" s="1"/>
  <c r="AA55"/>
  <c r="BH90" s="1"/>
  <c r="EC95"/>
  <c r="EC94" s="1"/>
  <c r="EC93" s="1"/>
  <c r="EC92" s="1"/>
  <c r="EC91" s="1"/>
  <c r="EC90" s="1"/>
  <c r="EC89" s="1"/>
  <c r="EC88" s="1"/>
  <c r="EC87" s="1"/>
  <c r="EC86" s="1"/>
  <c r="EC85" s="1"/>
  <c r="EC84" s="1"/>
  <c r="EC83" s="1"/>
  <c r="EC82" s="1"/>
  <c r="EC81" s="1"/>
  <c r="EC80" s="1"/>
  <c r="EC79" s="1"/>
  <c r="EC78" s="1"/>
  <c r="EC77" s="1"/>
  <c r="EC76" s="1"/>
  <c r="EC75" s="1"/>
  <c r="AF74" s="1"/>
  <c r="AF75" s="1"/>
  <c r="AF76" s="1"/>
  <c r="AF77" s="1"/>
  <c r="AF78" s="1"/>
  <c r="AF79" s="1"/>
  <c r="AF80" s="1"/>
  <c r="AF81" s="1"/>
  <c r="AF82" s="1"/>
  <c r="AF83" s="1"/>
  <c r="AF84" s="1"/>
  <c r="AF85" s="1"/>
  <c r="AF86" s="1"/>
  <c r="AF87" s="1"/>
  <c r="AF88" s="1"/>
  <c r="AF89" s="1"/>
  <c r="AF90" s="1"/>
  <c r="AF91" s="1"/>
  <c r="AF92" s="1"/>
  <c r="AF93" s="1"/>
  <c r="AF94" s="1"/>
  <c r="AF95" s="1"/>
  <c r="AF96" s="1"/>
  <c r="AF97" s="1"/>
  <c r="AF98" s="1"/>
  <c r="AF99" s="1"/>
  <c r="AF100" s="1"/>
  <c r="AF101" s="1"/>
  <c r="AF102" s="1"/>
  <c r="AF103" s="1"/>
  <c r="AF104" s="1"/>
  <c r="BK101"/>
  <c r="AC66"/>
  <c r="EB102"/>
  <c r="EB101" s="1"/>
  <c r="EB100" s="1"/>
  <c r="EB99" s="1"/>
  <c r="EB98" s="1"/>
  <c r="EB97" s="1"/>
  <c r="EB96" s="1"/>
  <c r="BL89"/>
  <c r="AD54"/>
  <c r="BL93"/>
  <c r="AD58"/>
  <c r="BK100"/>
  <c r="AC65"/>
  <c r="BK94"/>
  <c r="AC59"/>
  <c r="BK102"/>
  <c r="AC67"/>
  <c r="BK104"/>
  <c r="AC69"/>
  <c r="BK76"/>
  <c r="AC41"/>
  <c r="AC56"/>
  <c r="BK91"/>
  <c r="AC40"/>
  <c r="BK75"/>
  <c r="AC62"/>
  <c r="BK97"/>
  <c r="BK99"/>
  <c r="AC64"/>
  <c r="ED74"/>
  <c r="AG74"/>
  <c r="AG75" s="1"/>
  <c r="AG76" s="1"/>
  <c r="AG77" s="1"/>
  <c r="AG78" s="1"/>
  <c r="AG79" s="1"/>
  <c r="AG80" s="1"/>
  <c r="AG81" s="1"/>
  <c r="AG82" s="1"/>
  <c r="AG83" s="1"/>
  <c r="AG84" s="1"/>
  <c r="AG85" s="1"/>
  <c r="AG86" s="1"/>
  <c r="AG87" s="1"/>
  <c r="AG88" s="1"/>
  <c r="AG89" s="1"/>
  <c r="AG90" s="1"/>
  <c r="AG91" s="1"/>
  <c r="AG92" s="1"/>
  <c r="AG93" s="1"/>
  <c r="AG94" s="1"/>
  <c r="AG95" s="1"/>
  <c r="AG96" s="1"/>
  <c r="AG97" s="1"/>
  <c r="AG98" s="1"/>
  <c r="AG99" s="1"/>
  <c r="AG100" s="1"/>
  <c r="AG101" s="1"/>
  <c r="AG102" s="1"/>
  <c r="AG103" s="1"/>
  <c r="AG104" s="1"/>
  <c r="AC44"/>
  <c r="BK79"/>
  <c r="AC47"/>
  <c r="BK82"/>
  <c r="AC53"/>
  <c r="BK88"/>
  <c r="BK98"/>
  <c r="AC63"/>
  <c r="BK74"/>
  <c r="AC39"/>
  <c r="AC61"/>
  <c r="BK96"/>
  <c r="BK77"/>
  <c r="AC42"/>
  <c r="BL86"/>
  <c r="AD51"/>
  <c r="BK80"/>
  <c r="AC45"/>
  <c r="BK84"/>
  <c r="AC49"/>
  <c r="BK87"/>
  <c r="AC52"/>
  <c r="BK103"/>
  <c r="EA103" s="1"/>
  <c r="AC68"/>
  <c r="BK85"/>
  <c r="AC50"/>
  <c r="BL81"/>
  <c r="AD46"/>
  <c r="BL95"/>
  <c r="AD60"/>
  <c r="AC57" l="1"/>
  <c r="BJ92" s="1"/>
  <c r="AC43"/>
  <c r="BJ78" s="1"/>
  <c r="AB48"/>
  <c r="BI83" s="1"/>
  <c r="Z55"/>
  <c r="BG90" s="1"/>
  <c r="EC74"/>
  <c r="BJ101"/>
  <c r="AB66"/>
  <c r="EB95"/>
  <c r="EB94" s="1"/>
  <c r="EB93" s="1"/>
  <c r="EB92" s="1"/>
  <c r="EB91" s="1"/>
  <c r="EB90" s="1"/>
  <c r="EB89" s="1"/>
  <c r="EB88" s="1"/>
  <c r="EB87" s="1"/>
  <c r="EB86" s="1"/>
  <c r="EB85" s="1"/>
  <c r="EB84" s="1"/>
  <c r="EB83" s="1"/>
  <c r="EB82" s="1"/>
  <c r="EB81" s="1"/>
  <c r="EB80" s="1"/>
  <c r="EB79" s="1"/>
  <c r="EB78" s="1"/>
  <c r="EB77" s="1"/>
  <c r="EB76" s="1"/>
  <c r="EB75" s="1"/>
  <c r="AE74" s="1"/>
  <c r="AE75" s="1"/>
  <c r="AE76" s="1"/>
  <c r="AE77" s="1"/>
  <c r="AE78" s="1"/>
  <c r="AE79" s="1"/>
  <c r="AE80" s="1"/>
  <c r="AE81" s="1"/>
  <c r="AE82" s="1"/>
  <c r="AE83" s="1"/>
  <c r="AE84" s="1"/>
  <c r="AE85" s="1"/>
  <c r="AE86" s="1"/>
  <c r="AE87" s="1"/>
  <c r="AE88" s="1"/>
  <c r="AE89" s="1"/>
  <c r="AE90" s="1"/>
  <c r="AE91" s="1"/>
  <c r="AE92" s="1"/>
  <c r="AE93" s="1"/>
  <c r="AE94" s="1"/>
  <c r="AE95" s="1"/>
  <c r="AE96" s="1"/>
  <c r="AE97" s="1"/>
  <c r="AE98" s="1"/>
  <c r="AE99" s="1"/>
  <c r="AE100" s="1"/>
  <c r="AE101" s="1"/>
  <c r="AE102" s="1"/>
  <c r="AE103" s="1"/>
  <c r="AE104" s="1"/>
  <c r="EA102"/>
  <c r="EA101" s="1"/>
  <c r="EA100" s="1"/>
  <c r="EA99" s="1"/>
  <c r="EA98" s="1"/>
  <c r="EA97" s="1"/>
  <c r="EA96" s="1"/>
  <c r="AB44"/>
  <c r="BJ79"/>
  <c r="AB40"/>
  <c r="BJ75"/>
  <c r="AB53"/>
  <c r="BJ88"/>
  <c r="BJ99"/>
  <c r="AB64"/>
  <c r="BJ76"/>
  <c r="AB41"/>
  <c r="BJ102"/>
  <c r="AB67"/>
  <c r="BJ100"/>
  <c r="AB65"/>
  <c r="BK89"/>
  <c r="AC54"/>
  <c r="BK81"/>
  <c r="AC46"/>
  <c r="BJ103"/>
  <c r="DZ103" s="1"/>
  <c r="AB68"/>
  <c r="BJ84"/>
  <c r="AB49"/>
  <c r="BK86"/>
  <c r="AC51"/>
  <c r="BJ98"/>
  <c r="AB63"/>
  <c r="BK95"/>
  <c r="AC60"/>
  <c r="BJ85"/>
  <c r="AB50"/>
  <c r="BJ87"/>
  <c r="AB52"/>
  <c r="BJ80"/>
  <c r="AB45"/>
  <c r="BJ77"/>
  <c r="AB42"/>
  <c r="BJ74"/>
  <c r="AB39"/>
  <c r="AB47"/>
  <c r="BJ82"/>
  <c r="BJ97"/>
  <c r="AB62"/>
  <c r="AB56"/>
  <c r="BJ91"/>
  <c r="AB61"/>
  <c r="BJ96"/>
  <c r="BJ104"/>
  <c r="AB69"/>
  <c r="BJ94"/>
  <c r="AB59"/>
  <c r="BK93"/>
  <c r="AC58"/>
  <c r="AB57" l="1"/>
  <c r="BI92" s="1"/>
  <c r="Y55"/>
  <c r="BF90" s="1"/>
  <c r="AA48"/>
  <c r="AB43"/>
  <c r="BI78" s="1"/>
  <c r="BI101"/>
  <c r="AA66"/>
  <c r="EA95"/>
  <c r="EA94" s="1"/>
  <c r="EA93" s="1"/>
  <c r="EA92" s="1"/>
  <c r="EA91" s="1"/>
  <c r="EA90" s="1"/>
  <c r="EA89" s="1"/>
  <c r="EA88" s="1"/>
  <c r="EA87" s="1"/>
  <c r="EA86" s="1"/>
  <c r="EA85" s="1"/>
  <c r="EA84" s="1"/>
  <c r="EA83" s="1"/>
  <c r="EA82" s="1"/>
  <c r="EA81" s="1"/>
  <c r="EA80" s="1"/>
  <c r="EA79" s="1"/>
  <c r="EA78" s="1"/>
  <c r="EA77" s="1"/>
  <c r="EA76" s="1"/>
  <c r="EA75" s="1"/>
  <c r="AD74" s="1"/>
  <c r="AD75" s="1"/>
  <c r="AD76" s="1"/>
  <c r="AD77" s="1"/>
  <c r="AD78" s="1"/>
  <c r="AD79" s="1"/>
  <c r="AD80" s="1"/>
  <c r="AD81" s="1"/>
  <c r="AD82" s="1"/>
  <c r="AD83" s="1"/>
  <c r="AD84" s="1"/>
  <c r="AD85" s="1"/>
  <c r="AD86" s="1"/>
  <c r="AD87" s="1"/>
  <c r="AD88" s="1"/>
  <c r="AD89" s="1"/>
  <c r="AD90" s="1"/>
  <c r="AD91" s="1"/>
  <c r="AD92" s="1"/>
  <c r="AD93" s="1"/>
  <c r="AD94" s="1"/>
  <c r="AD95" s="1"/>
  <c r="AD96" s="1"/>
  <c r="AD97" s="1"/>
  <c r="AD98" s="1"/>
  <c r="AD99" s="1"/>
  <c r="AD100" s="1"/>
  <c r="AD101" s="1"/>
  <c r="AD102" s="1"/>
  <c r="AD103" s="1"/>
  <c r="AD104" s="1"/>
  <c r="EB74"/>
  <c r="BJ93"/>
  <c r="AB58"/>
  <c r="BI104"/>
  <c r="AA69"/>
  <c r="BI77"/>
  <c r="AA42"/>
  <c r="BI87"/>
  <c r="AA52"/>
  <c r="BJ95"/>
  <c r="AB60"/>
  <c r="BJ86"/>
  <c r="AB51"/>
  <c r="BI103"/>
  <c r="DY103" s="1"/>
  <c r="AA68"/>
  <c r="AA53"/>
  <c r="BI88"/>
  <c r="BI79"/>
  <c r="AA44"/>
  <c r="BI96"/>
  <c r="AA61"/>
  <c r="BI100"/>
  <c r="AA65"/>
  <c r="BI76"/>
  <c r="AA41"/>
  <c r="BI74"/>
  <c r="AA39"/>
  <c r="BI85"/>
  <c r="AA50"/>
  <c r="BI94"/>
  <c r="AA59"/>
  <c r="AA62"/>
  <c r="BI97"/>
  <c r="BI80"/>
  <c r="AA45"/>
  <c r="BI98"/>
  <c r="AA63"/>
  <c r="BI84"/>
  <c r="AA49"/>
  <c r="BJ81"/>
  <c r="AB46"/>
  <c r="BI75"/>
  <c r="AA40"/>
  <c r="BI91"/>
  <c r="AA56"/>
  <c r="AA47"/>
  <c r="BI82"/>
  <c r="BJ89"/>
  <c r="AB54"/>
  <c r="BI102"/>
  <c r="AA67"/>
  <c r="BI99"/>
  <c r="AA64"/>
  <c r="DZ102"/>
  <c r="DZ101" s="1"/>
  <c r="DZ100" s="1"/>
  <c r="DZ99" s="1"/>
  <c r="DZ98" s="1"/>
  <c r="DZ97" s="1"/>
  <c r="DZ96" s="1"/>
  <c r="DZ95" s="1"/>
  <c r="DZ94" s="1"/>
  <c r="DZ93" s="1"/>
  <c r="DZ92" s="1"/>
  <c r="DZ91" s="1"/>
  <c r="DZ90" s="1"/>
  <c r="X55"/>
  <c r="BE90" s="1"/>
  <c r="AA57" l="1"/>
  <c r="BH92" s="1"/>
  <c r="BH83"/>
  <c r="Z48"/>
  <c r="AA43"/>
  <c r="BH78" s="1"/>
  <c r="BH101"/>
  <c r="Z66"/>
  <c r="EA74"/>
  <c r="BH97"/>
  <c r="Z62"/>
  <c r="BH88"/>
  <c r="Z53"/>
  <c r="BH99"/>
  <c r="Z64"/>
  <c r="BI89"/>
  <c r="AA54"/>
  <c r="Z56"/>
  <c r="BH91"/>
  <c r="BI81"/>
  <c r="AA46"/>
  <c r="BH98"/>
  <c r="Z63"/>
  <c r="BH85"/>
  <c r="Z50"/>
  <c r="BH76"/>
  <c r="Z41"/>
  <c r="Z61"/>
  <c r="BH96"/>
  <c r="BI86"/>
  <c r="AA51"/>
  <c r="BH87"/>
  <c r="Z52"/>
  <c r="BH104"/>
  <c r="Z69"/>
  <c r="Z47"/>
  <c r="BH82"/>
  <c r="DZ89"/>
  <c r="DZ88" s="1"/>
  <c r="DZ87" s="1"/>
  <c r="DZ86" s="1"/>
  <c r="DZ85" s="1"/>
  <c r="DZ84" s="1"/>
  <c r="DZ83" s="1"/>
  <c r="DZ82" s="1"/>
  <c r="DZ81" s="1"/>
  <c r="DZ80" s="1"/>
  <c r="DZ79" s="1"/>
  <c r="DZ78" s="1"/>
  <c r="DZ77" s="1"/>
  <c r="DZ76" s="1"/>
  <c r="DZ75" s="1"/>
  <c r="DY102"/>
  <c r="DY101" s="1"/>
  <c r="DY100" s="1"/>
  <c r="DY99" s="1"/>
  <c r="DY98" s="1"/>
  <c r="DY97" s="1"/>
  <c r="DY96" s="1"/>
  <c r="BH102"/>
  <c r="Z67"/>
  <c r="Z40"/>
  <c r="BH75"/>
  <c r="BH84"/>
  <c r="Z49"/>
  <c r="BH80"/>
  <c r="Z45"/>
  <c r="BH94"/>
  <c r="Z59"/>
  <c r="BH74"/>
  <c r="Z39"/>
  <c r="BH100"/>
  <c r="Z65"/>
  <c r="Z44"/>
  <c r="BH79"/>
  <c r="BH103"/>
  <c r="DX103" s="1"/>
  <c r="DX102" s="1"/>
  <c r="Z68"/>
  <c r="BI95"/>
  <c r="AA60"/>
  <c r="BH77"/>
  <c r="Z42"/>
  <c r="BI93"/>
  <c r="AA58"/>
  <c r="W55"/>
  <c r="BD90" s="1"/>
  <c r="Z57" l="1"/>
  <c r="BG92" s="1"/>
  <c r="Z43"/>
  <c r="BG78" s="1"/>
  <c r="BG83"/>
  <c r="Y48"/>
  <c r="DX101"/>
  <c r="DX100" s="1"/>
  <c r="DX99" s="1"/>
  <c r="DX98" s="1"/>
  <c r="DX97" s="1"/>
  <c r="DX96" s="1"/>
  <c r="BG101"/>
  <c r="Y66"/>
  <c r="BG77"/>
  <c r="Y42"/>
  <c r="BG100"/>
  <c r="Y65"/>
  <c r="BG102"/>
  <c r="Y67"/>
  <c r="BH81"/>
  <c r="Z46"/>
  <c r="BH89"/>
  <c r="Z54"/>
  <c r="Y44"/>
  <c r="BG79"/>
  <c r="DZ74"/>
  <c r="AC74"/>
  <c r="AC75" s="1"/>
  <c r="AC76" s="1"/>
  <c r="AC77" s="1"/>
  <c r="AC78" s="1"/>
  <c r="AC79" s="1"/>
  <c r="AC80" s="1"/>
  <c r="AC81" s="1"/>
  <c r="AC82" s="1"/>
  <c r="AC83" s="1"/>
  <c r="AC84" s="1"/>
  <c r="AC85" s="1"/>
  <c r="AC86" s="1"/>
  <c r="AC87" s="1"/>
  <c r="AC88" s="1"/>
  <c r="AC89" s="1"/>
  <c r="AC90" s="1"/>
  <c r="AC91" s="1"/>
  <c r="AC92" s="1"/>
  <c r="AC93" s="1"/>
  <c r="AC94" s="1"/>
  <c r="AC95" s="1"/>
  <c r="AC96" s="1"/>
  <c r="AC97" s="1"/>
  <c r="AC98" s="1"/>
  <c r="AC99" s="1"/>
  <c r="AC100" s="1"/>
  <c r="AC101" s="1"/>
  <c r="AC102" s="1"/>
  <c r="AC103" s="1"/>
  <c r="AC104" s="1"/>
  <c r="Y56"/>
  <c r="BG91"/>
  <c r="BG103"/>
  <c r="DW103" s="1"/>
  <c r="Y68"/>
  <c r="BG94"/>
  <c r="Y59"/>
  <c r="BG84"/>
  <c r="Y49"/>
  <c r="BG87"/>
  <c r="Y52"/>
  <c r="BG85"/>
  <c r="Y50"/>
  <c r="Y53"/>
  <c r="BG88"/>
  <c r="Y40"/>
  <c r="BG75"/>
  <c r="BH93"/>
  <c r="Z58"/>
  <c r="BH95"/>
  <c r="Z60"/>
  <c r="BG74"/>
  <c r="Y39"/>
  <c r="BG80"/>
  <c r="Y45"/>
  <c r="BG104"/>
  <c r="Y69"/>
  <c r="BH86"/>
  <c r="Z51"/>
  <c r="BG76"/>
  <c r="Y41"/>
  <c r="BG98"/>
  <c r="Y63"/>
  <c r="BG99"/>
  <c r="Y64"/>
  <c r="Y62"/>
  <c r="BG97"/>
  <c r="DY95"/>
  <c r="DY94" s="1"/>
  <c r="DY93" s="1"/>
  <c r="DY92" s="1"/>
  <c r="DY91" s="1"/>
  <c r="DY90" s="1"/>
  <c r="DY89" s="1"/>
  <c r="DY88" s="1"/>
  <c r="DY87" s="1"/>
  <c r="DY86" s="1"/>
  <c r="DY85" s="1"/>
  <c r="DY84" s="1"/>
  <c r="DY83" s="1"/>
  <c r="DY82" s="1"/>
  <c r="DY81" s="1"/>
  <c r="DY80" s="1"/>
  <c r="DY79" s="1"/>
  <c r="DY78" s="1"/>
  <c r="DY77" s="1"/>
  <c r="DY76" s="1"/>
  <c r="DY75" s="1"/>
  <c r="Y47"/>
  <c r="BG82"/>
  <c r="Y61"/>
  <c r="BG96"/>
  <c r="V55"/>
  <c r="BC90" s="1"/>
  <c r="Y57" l="1"/>
  <c r="BF92" s="1"/>
  <c r="Y43"/>
  <c r="BF78" s="1"/>
  <c r="BF83"/>
  <c r="X48"/>
  <c r="DW102"/>
  <c r="DW101" s="1"/>
  <c r="DW100" s="1"/>
  <c r="DW99" s="1"/>
  <c r="DW98" s="1"/>
  <c r="DW97" s="1"/>
  <c r="DW96" s="1"/>
  <c r="BF101"/>
  <c r="X66"/>
  <c r="DX95"/>
  <c r="DX94" s="1"/>
  <c r="DX93" s="1"/>
  <c r="DX92" s="1"/>
  <c r="DX91" s="1"/>
  <c r="DX90" s="1"/>
  <c r="DX89" s="1"/>
  <c r="DX88" s="1"/>
  <c r="DX87" s="1"/>
  <c r="DX86" s="1"/>
  <c r="DX85" s="1"/>
  <c r="DX84" s="1"/>
  <c r="DX83" s="1"/>
  <c r="DX82" s="1"/>
  <c r="DX81" s="1"/>
  <c r="DX80" s="1"/>
  <c r="DX79" s="1"/>
  <c r="DX78" s="1"/>
  <c r="DX77" s="1"/>
  <c r="DX76" s="1"/>
  <c r="DX75" s="1"/>
  <c r="X61"/>
  <c r="BF96"/>
  <c r="BF98"/>
  <c r="X63"/>
  <c r="BG86"/>
  <c r="Y51"/>
  <c r="BF80"/>
  <c r="X45"/>
  <c r="BG95"/>
  <c r="Y60"/>
  <c r="BF85"/>
  <c r="X50"/>
  <c r="BF84"/>
  <c r="X49"/>
  <c r="BF103"/>
  <c r="DV103" s="1"/>
  <c r="X68"/>
  <c r="BG89"/>
  <c r="Y54"/>
  <c r="BF102"/>
  <c r="X67"/>
  <c r="BF77"/>
  <c r="X42"/>
  <c r="AB74"/>
  <c r="AB75" s="1"/>
  <c r="AB76" s="1"/>
  <c r="AB77" s="1"/>
  <c r="AB78" s="1"/>
  <c r="AB79" s="1"/>
  <c r="AB80" s="1"/>
  <c r="AB81" s="1"/>
  <c r="AB82" s="1"/>
  <c r="AB83" s="1"/>
  <c r="AB84" s="1"/>
  <c r="AB85" s="1"/>
  <c r="AB86" s="1"/>
  <c r="AB87" s="1"/>
  <c r="AB88" s="1"/>
  <c r="AB89" s="1"/>
  <c r="AB90" s="1"/>
  <c r="AB91" s="1"/>
  <c r="AB92" s="1"/>
  <c r="AB93" s="1"/>
  <c r="AB94" s="1"/>
  <c r="AB95" s="1"/>
  <c r="AB96" s="1"/>
  <c r="AB97" s="1"/>
  <c r="AB98" s="1"/>
  <c r="AB99" s="1"/>
  <c r="AB100" s="1"/>
  <c r="AB101" s="1"/>
  <c r="AB102" s="1"/>
  <c r="AB103" s="1"/>
  <c r="AB104" s="1"/>
  <c r="DY74"/>
  <c r="X53"/>
  <c r="BF88"/>
  <c r="X56"/>
  <c r="BF91"/>
  <c r="X44"/>
  <c r="BF79"/>
  <c r="X47"/>
  <c r="BF82"/>
  <c r="BF99"/>
  <c r="X64"/>
  <c r="BF76"/>
  <c r="X41"/>
  <c r="BF104"/>
  <c r="X69"/>
  <c r="BF74"/>
  <c r="X39"/>
  <c r="BG93"/>
  <c r="Y58"/>
  <c r="BF87"/>
  <c r="X52"/>
  <c r="BF94"/>
  <c r="X59"/>
  <c r="BG81"/>
  <c r="Y46"/>
  <c r="BF100"/>
  <c r="X65"/>
  <c r="BF97"/>
  <c r="X62"/>
  <c r="X40"/>
  <c r="BF75"/>
  <c r="U55"/>
  <c r="BB90" s="1"/>
  <c r="X57" l="1"/>
  <c r="BE92" s="1"/>
  <c r="X43"/>
  <c r="BE78" s="1"/>
  <c r="BE83"/>
  <c r="W48"/>
  <c r="BE101"/>
  <c r="W66"/>
  <c r="DW95"/>
  <c r="DW94" s="1"/>
  <c r="DW93" s="1"/>
  <c r="DW92" s="1"/>
  <c r="DW91" s="1"/>
  <c r="DW90" s="1"/>
  <c r="DW89" s="1"/>
  <c r="DW88" s="1"/>
  <c r="DW87" s="1"/>
  <c r="DW86" s="1"/>
  <c r="DW85" s="1"/>
  <c r="DW84" s="1"/>
  <c r="DW83" s="1"/>
  <c r="DW82" s="1"/>
  <c r="DW81" s="1"/>
  <c r="DW80" s="1"/>
  <c r="DW79" s="1"/>
  <c r="DW78" s="1"/>
  <c r="DW77" s="1"/>
  <c r="DW76" s="1"/>
  <c r="DW75" s="1"/>
  <c r="BE100"/>
  <c r="W65"/>
  <c r="BE94"/>
  <c r="W59"/>
  <c r="BF93"/>
  <c r="X58"/>
  <c r="BE104"/>
  <c r="W69"/>
  <c r="BE99"/>
  <c r="W64"/>
  <c r="BE77"/>
  <c r="W42"/>
  <c r="BF89"/>
  <c r="X54"/>
  <c r="BE84"/>
  <c r="W49"/>
  <c r="BF95"/>
  <c r="X60"/>
  <c r="BF86"/>
  <c r="X51"/>
  <c r="DX74"/>
  <c r="AA74"/>
  <c r="AA75" s="1"/>
  <c r="AA76" s="1"/>
  <c r="AA77" s="1"/>
  <c r="AA78" s="1"/>
  <c r="AA79" s="1"/>
  <c r="AA80" s="1"/>
  <c r="AA81" s="1"/>
  <c r="AA82" s="1"/>
  <c r="AA83" s="1"/>
  <c r="AA84" s="1"/>
  <c r="AA85" s="1"/>
  <c r="AA86" s="1"/>
  <c r="AA87" s="1"/>
  <c r="AA88" s="1"/>
  <c r="AA89" s="1"/>
  <c r="AA90" s="1"/>
  <c r="AA91" s="1"/>
  <c r="AA92" s="1"/>
  <c r="AA93" s="1"/>
  <c r="AA94" s="1"/>
  <c r="AA95" s="1"/>
  <c r="AA96" s="1"/>
  <c r="AA97" s="1"/>
  <c r="AA98" s="1"/>
  <c r="AA99" s="1"/>
  <c r="AA100" s="1"/>
  <c r="AA101" s="1"/>
  <c r="AA102" s="1"/>
  <c r="AA103" s="1"/>
  <c r="AA104" s="1"/>
  <c r="W47"/>
  <c r="BE82"/>
  <c r="W56"/>
  <c r="BE91"/>
  <c r="W62"/>
  <c r="BE97"/>
  <c r="BF81"/>
  <c r="X46"/>
  <c r="BE87"/>
  <c r="W52"/>
  <c r="BE74"/>
  <c r="W39"/>
  <c r="BE76"/>
  <c r="W41"/>
  <c r="BE102"/>
  <c r="W67"/>
  <c r="BE103"/>
  <c r="DU103" s="1"/>
  <c r="W68"/>
  <c r="BE85"/>
  <c r="W50"/>
  <c r="BE80"/>
  <c r="W45"/>
  <c r="BE98"/>
  <c r="W63"/>
  <c r="W40"/>
  <c r="BE75"/>
  <c r="W44"/>
  <c r="BE79"/>
  <c r="BE88"/>
  <c r="W53"/>
  <c r="W61"/>
  <c r="BE96"/>
  <c r="DV102"/>
  <c r="DV101" s="1"/>
  <c r="DV100" s="1"/>
  <c r="DV99" s="1"/>
  <c r="DV98" s="1"/>
  <c r="DV97" s="1"/>
  <c r="DV96" s="1"/>
  <c r="T55"/>
  <c r="BA90" s="1"/>
  <c r="W57" l="1"/>
  <c r="BD92" s="1"/>
  <c r="W43"/>
  <c r="BD78" s="1"/>
  <c r="BD83"/>
  <c r="V48"/>
  <c r="BD101"/>
  <c r="V66"/>
  <c r="DU102"/>
  <c r="DU101" s="1"/>
  <c r="DU100" s="1"/>
  <c r="DU99" s="1"/>
  <c r="DU98" s="1"/>
  <c r="DU97" s="1"/>
  <c r="DU96" s="1"/>
  <c r="DV95"/>
  <c r="DV94" s="1"/>
  <c r="DV93" s="1"/>
  <c r="DV92" s="1"/>
  <c r="DV91" s="1"/>
  <c r="DV90" s="1"/>
  <c r="DV89" s="1"/>
  <c r="DV88" s="1"/>
  <c r="DV87" s="1"/>
  <c r="DV86" s="1"/>
  <c r="DV85" s="1"/>
  <c r="DV84" s="1"/>
  <c r="DV83" s="1"/>
  <c r="DV82" s="1"/>
  <c r="DV81" s="1"/>
  <c r="DV80" s="1"/>
  <c r="DV79" s="1"/>
  <c r="DV78" s="1"/>
  <c r="DV77" s="1"/>
  <c r="DV76" s="1"/>
  <c r="DV75" s="1"/>
  <c r="Y74" s="1"/>
  <c r="Y75" s="1"/>
  <c r="Y76" s="1"/>
  <c r="Y77" s="1"/>
  <c r="Y78" s="1"/>
  <c r="Y79" s="1"/>
  <c r="Y80" s="1"/>
  <c r="Y81" s="1"/>
  <c r="Y82" s="1"/>
  <c r="Y83" s="1"/>
  <c r="Y84" s="1"/>
  <c r="Y85" s="1"/>
  <c r="Y86" s="1"/>
  <c r="Y87" s="1"/>
  <c r="Y88" s="1"/>
  <c r="Y89" s="1"/>
  <c r="Y90" s="1"/>
  <c r="Y91" s="1"/>
  <c r="Y92" s="1"/>
  <c r="Y93" s="1"/>
  <c r="Y94" s="1"/>
  <c r="Y95" s="1"/>
  <c r="Y96" s="1"/>
  <c r="Y97" s="1"/>
  <c r="Y98" s="1"/>
  <c r="Y99" s="1"/>
  <c r="Y100" s="1"/>
  <c r="Y101" s="1"/>
  <c r="Y102" s="1"/>
  <c r="Y103" s="1"/>
  <c r="Y104" s="1"/>
  <c r="BE95"/>
  <c r="W60"/>
  <c r="BD99"/>
  <c r="V64"/>
  <c r="BD100"/>
  <c r="V65"/>
  <c r="V40"/>
  <c r="BD75"/>
  <c r="V47"/>
  <c r="BD82"/>
  <c r="V61"/>
  <c r="BD96"/>
  <c r="V44"/>
  <c r="BD79"/>
  <c r="V56"/>
  <c r="BD91"/>
  <c r="BD98"/>
  <c r="V63"/>
  <c r="BD85"/>
  <c r="V50"/>
  <c r="BD102"/>
  <c r="V67"/>
  <c r="BD74"/>
  <c r="V39"/>
  <c r="BE81"/>
  <c r="W46"/>
  <c r="BE89"/>
  <c r="W54"/>
  <c r="BE93"/>
  <c r="W58"/>
  <c r="V62"/>
  <c r="BD97"/>
  <c r="DW74"/>
  <c r="Z74"/>
  <c r="Z75" s="1"/>
  <c r="Z76" s="1"/>
  <c r="Z77" s="1"/>
  <c r="Z78" s="1"/>
  <c r="Z79" s="1"/>
  <c r="Z80" s="1"/>
  <c r="Z81" s="1"/>
  <c r="Z82" s="1"/>
  <c r="Z83" s="1"/>
  <c r="Z84" s="1"/>
  <c r="Z85" s="1"/>
  <c r="Z86" s="1"/>
  <c r="Z87" s="1"/>
  <c r="Z88" s="1"/>
  <c r="Z89" s="1"/>
  <c r="Z90" s="1"/>
  <c r="Z91" s="1"/>
  <c r="Z92" s="1"/>
  <c r="Z93" s="1"/>
  <c r="Z94" s="1"/>
  <c r="Z95" s="1"/>
  <c r="Z96" s="1"/>
  <c r="Z97" s="1"/>
  <c r="Z98" s="1"/>
  <c r="Z99" s="1"/>
  <c r="Z100" s="1"/>
  <c r="Z101" s="1"/>
  <c r="Z102" s="1"/>
  <c r="Z103" s="1"/>
  <c r="Z104" s="1"/>
  <c r="BD88"/>
  <c r="V53"/>
  <c r="BD80"/>
  <c r="V45"/>
  <c r="BD103"/>
  <c r="DT103" s="1"/>
  <c r="V68"/>
  <c r="BD76"/>
  <c r="V41"/>
  <c r="BD87"/>
  <c r="V52"/>
  <c r="BE86"/>
  <c r="W51"/>
  <c r="BD84"/>
  <c r="V49"/>
  <c r="BD77"/>
  <c r="V42"/>
  <c r="BD104"/>
  <c r="V69"/>
  <c r="BD94"/>
  <c r="V59"/>
  <c r="S55"/>
  <c r="AZ90" s="1"/>
  <c r="V57" l="1"/>
  <c r="BC92" s="1"/>
  <c r="V43"/>
  <c r="BC78" s="1"/>
  <c r="BC83"/>
  <c r="U48"/>
  <c r="BC101"/>
  <c r="U66"/>
  <c r="R55"/>
  <c r="AY90" s="1"/>
  <c r="DU95"/>
  <c r="DU94" s="1"/>
  <c r="DU93" s="1"/>
  <c r="DU92" s="1"/>
  <c r="DU91" s="1"/>
  <c r="DU90" s="1"/>
  <c r="DU89" s="1"/>
  <c r="DU88" s="1"/>
  <c r="DU87" s="1"/>
  <c r="DU86" s="1"/>
  <c r="DU85" s="1"/>
  <c r="DU84" s="1"/>
  <c r="DU83" s="1"/>
  <c r="DU82" s="1"/>
  <c r="DU81" s="1"/>
  <c r="DU80" s="1"/>
  <c r="DU79" s="1"/>
  <c r="DU78" s="1"/>
  <c r="DU77" s="1"/>
  <c r="DU76" s="1"/>
  <c r="DU75" s="1"/>
  <c r="X74" s="1"/>
  <c r="X75" s="1"/>
  <c r="X76" s="1"/>
  <c r="X77" s="1"/>
  <c r="X78" s="1"/>
  <c r="X79" s="1"/>
  <c r="X80" s="1"/>
  <c r="X81" s="1"/>
  <c r="X82" s="1"/>
  <c r="X83" s="1"/>
  <c r="X84" s="1"/>
  <c r="X85" s="1"/>
  <c r="X86" s="1"/>
  <c r="X87" s="1"/>
  <c r="X88" s="1"/>
  <c r="X89" s="1"/>
  <c r="X90" s="1"/>
  <c r="X91" s="1"/>
  <c r="X92" s="1"/>
  <c r="X93" s="1"/>
  <c r="X94" s="1"/>
  <c r="X95" s="1"/>
  <c r="X96" s="1"/>
  <c r="X97" s="1"/>
  <c r="X98" s="1"/>
  <c r="X99" s="1"/>
  <c r="X100" s="1"/>
  <c r="X101" s="1"/>
  <c r="X102" s="1"/>
  <c r="X103" s="1"/>
  <c r="X104" s="1"/>
  <c r="DV74"/>
  <c r="DT102"/>
  <c r="DT101" s="1"/>
  <c r="DT100" s="1"/>
  <c r="DT99" s="1"/>
  <c r="DT98" s="1"/>
  <c r="DT97" s="1"/>
  <c r="DT96" s="1"/>
  <c r="BC77"/>
  <c r="U42"/>
  <c r="BD86"/>
  <c r="V51"/>
  <c r="BC76"/>
  <c r="U41"/>
  <c r="BC80"/>
  <c r="U45"/>
  <c r="BD93"/>
  <c r="V58"/>
  <c r="BD81"/>
  <c r="V46"/>
  <c r="BC102"/>
  <c r="U67"/>
  <c r="BC98"/>
  <c r="U63"/>
  <c r="BC100"/>
  <c r="U65"/>
  <c r="BD95"/>
  <c r="V60"/>
  <c r="U62"/>
  <c r="BC97"/>
  <c r="U56"/>
  <c r="BC91"/>
  <c r="BC96"/>
  <c r="U61"/>
  <c r="BC75"/>
  <c r="U40"/>
  <c r="BC104"/>
  <c r="U69"/>
  <c r="BC84"/>
  <c r="U49"/>
  <c r="BC87"/>
  <c r="U52"/>
  <c r="BC103"/>
  <c r="DS103" s="1"/>
  <c r="U68"/>
  <c r="U53"/>
  <c r="BC88"/>
  <c r="BD89"/>
  <c r="V54"/>
  <c r="BC74"/>
  <c r="U39"/>
  <c r="BC85"/>
  <c r="U50"/>
  <c r="BC99"/>
  <c r="U64"/>
  <c r="U44"/>
  <c r="BC79"/>
  <c r="U47"/>
  <c r="BC82"/>
  <c r="BC94"/>
  <c r="U59"/>
  <c r="U57" l="1"/>
  <c r="BB92" s="1"/>
  <c r="U43"/>
  <c r="BB78" s="1"/>
  <c r="BB83"/>
  <c r="T48"/>
  <c r="Q55"/>
  <c r="AX90" s="1"/>
  <c r="DT95"/>
  <c r="DT94" s="1"/>
  <c r="DT93" s="1"/>
  <c r="DT92" s="1"/>
  <c r="DT91" s="1"/>
  <c r="DT90" s="1"/>
  <c r="DT89" s="1"/>
  <c r="DT88" s="1"/>
  <c r="DT87" s="1"/>
  <c r="DT86" s="1"/>
  <c r="DT85" s="1"/>
  <c r="DT84" s="1"/>
  <c r="DT83" s="1"/>
  <c r="DT82" s="1"/>
  <c r="DT81" s="1"/>
  <c r="DT80" s="1"/>
  <c r="DT79" s="1"/>
  <c r="DT78" s="1"/>
  <c r="DT77" s="1"/>
  <c r="DT76" s="1"/>
  <c r="DT75" s="1"/>
  <c r="W74" s="1"/>
  <c r="W75" s="1"/>
  <c r="W76" s="1"/>
  <c r="W77" s="1"/>
  <c r="W78" s="1"/>
  <c r="W79" s="1"/>
  <c r="W80" s="1"/>
  <c r="W81" s="1"/>
  <c r="W82" s="1"/>
  <c r="W83" s="1"/>
  <c r="W84" s="1"/>
  <c r="W85" s="1"/>
  <c r="W86" s="1"/>
  <c r="W87" s="1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BB101"/>
  <c r="T66"/>
  <c r="DU74"/>
  <c r="DS102"/>
  <c r="DS101" s="1"/>
  <c r="DS100" s="1"/>
  <c r="DS99" s="1"/>
  <c r="DS98" s="1"/>
  <c r="DS97" s="1"/>
  <c r="DS96" s="1"/>
  <c r="BB94"/>
  <c r="T59"/>
  <c r="BB99"/>
  <c r="T64"/>
  <c r="BB74"/>
  <c r="T39"/>
  <c r="BB87"/>
  <c r="T52"/>
  <c r="BB104"/>
  <c r="T69"/>
  <c r="T61"/>
  <c r="BB96"/>
  <c r="BB100"/>
  <c r="T65"/>
  <c r="BB102"/>
  <c r="T67"/>
  <c r="BC93"/>
  <c r="U58"/>
  <c r="BB76"/>
  <c r="T41"/>
  <c r="BB77"/>
  <c r="T42"/>
  <c r="T47"/>
  <c r="BB82"/>
  <c r="T53"/>
  <c r="BB88"/>
  <c r="T62"/>
  <c r="BB97"/>
  <c r="T44"/>
  <c r="BB79"/>
  <c r="T56"/>
  <c r="BB91"/>
  <c r="BB85"/>
  <c r="T50"/>
  <c r="BC89"/>
  <c r="U54"/>
  <c r="BB103"/>
  <c r="DR103" s="1"/>
  <c r="T68"/>
  <c r="BB84"/>
  <c r="T49"/>
  <c r="BB75"/>
  <c r="T40"/>
  <c r="BC95"/>
  <c r="U60"/>
  <c r="BB98"/>
  <c r="T63"/>
  <c r="BC81"/>
  <c r="U46"/>
  <c r="BB80"/>
  <c r="T45"/>
  <c r="BC86"/>
  <c r="U51"/>
  <c r="T57" l="1"/>
  <c r="BA92" s="1"/>
  <c r="T43"/>
  <c r="BA78" s="1"/>
  <c r="BA83"/>
  <c r="S48"/>
  <c r="P55"/>
  <c r="AW90" s="1"/>
  <c r="BA101"/>
  <c r="S66"/>
  <c r="DT74"/>
  <c r="DR102"/>
  <c r="DR101" s="1"/>
  <c r="DR100" s="1"/>
  <c r="DR99" s="1"/>
  <c r="DR98" s="1"/>
  <c r="DR97" s="1"/>
  <c r="DR96" s="1"/>
  <c r="DS95"/>
  <c r="DS94" s="1"/>
  <c r="DS93" s="1"/>
  <c r="DS92" s="1"/>
  <c r="DS91" s="1"/>
  <c r="DS90" s="1"/>
  <c r="DS89" s="1"/>
  <c r="DS88" s="1"/>
  <c r="DS87" s="1"/>
  <c r="DS86" s="1"/>
  <c r="DS85" s="1"/>
  <c r="DS84" s="1"/>
  <c r="DS83" s="1"/>
  <c r="DS82" s="1"/>
  <c r="DS81" s="1"/>
  <c r="DS80" s="1"/>
  <c r="DS79" s="1"/>
  <c r="DS78" s="1"/>
  <c r="DS77" s="1"/>
  <c r="DS76" s="1"/>
  <c r="DS75" s="1"/>
  <c r="V74" s="1"/>
  <c r="V75" s="1"/>
  <c r="V76" s="1"/>
  <c r="V77" s="1"/>
  <c r="V78" s="1"/>
  <c r="V79" s="1"/>
  <c r="V80" s="1"/>
  <c r="V81" s="1"/>
  <c r="V82" s="1"/>
  <c r="V83" s="1"/>
  <c r="V84" s="1"/>
  <c r="V85" s="1"/>
  <c r="V86" s="1"/>
  <c r="V87" s="1"/>
  <c r="V88" s="1"/>
  <c r="V89" s="1"/>
  <c r="V90" s="1"/>
  <c r="V91" s="1"/>
  <c r="V92" s="1"/>
  <c r="V93" s="1"/>
  <c r="V94" s="1"/>
  <c r="V95" s="1"/>
  <c r="V96" s="1"/>
  <c r="V97" s="1"/>
  <c r="V98" s="1"/>
  <c r="V99" s="1"/>
  <c r="V100" s="1"/>
  <c r="V101" s="1"/>
  <c r="V102" s="1"/>
  <c r="V103" s="1"/>
  <c r="V104" s="1"/>
  <c r="BA77"/>
  <c r="S42"/>
  <c r="BA100"/>
  <c r="S65"/>
  <c r="BA94"/>
  <c r="S59"/>
  <c r="BA103"/>
  <c r="DQ103" s="1"/>
  <c r="S68"/>
  <c r="BA82"/>
  <c r="S47"/>
  <c r="BB86"/>
  <c r="T51"/>
  <c r="BB81"/>
  <c r="T46"/>
  <c r="BB95"/>
  <c r="T60"/>
  <c r="BA84"/>
  <c r="S49"/>
  <c r="BB89"/>
  <c r="T54"/>
  <c r="BA88"/>
  <c r="S53"/>
  <c r="BA98"/>
  <c r="S63"/>
  <c r="BA79"/>
  <c r="S44"/>
  <c r="BB93"/>
  <c r="T58"/>
  <c r="BA104"/>
  <c r="S69"/>
  <c r="BA74"/>
  <c r="S39"/>
  <c r="BA80"/>
  <c r="S45"/>
  <c r="S40"/>
  <c r="BA75"/>
  <c r="BA85"/>
  <c r="S50"/>
  <c r="S62"/>
  <c r="BA97"/>
  <c r="BA96"/>
  <c r="S61"/>
  <c r="S56"/>
  <c r="BA91"/>
  <c r="BA76"/>
  <c r="S41"/>
  <c r="BA102"/>
  <c r="S67"/>
  <c r="BA87"/>
  <c r="S52"/>
  <c r="BA99"/>
  <c r="S64"/>
  <c r="S57" l="1"/>
  <c r="AZ92" s="1"/>
  <c r="S43"/>
  <c r="AZ78" s="1"/>
  <c r="AZ83"/>
  <c r="R48"/>
  <c r="O55"/>
  <c r="AV90" s="1"/>
  <c r="AZ101"/>
  <c r="R66"/>
  <c r="DR95"/>
  <c r="DR94" s="1"/>
  <c r="DR93" s="1"/>
  <c r="DR92" s="1"/>
  <c r="DR91" s="1"/>
  <c r="DR90" s="1"/>
  <c r="DR89" s="1"/>
  <c r="DR88" s="1"/>
  <c r="DR87" s="1"/>
  <c r="DR86" s="1"/>
  <c r="DR85" s="1"/>
  <c r="DR84" s="1"/>
  <c r="DR83" s="1"/>
  <c r="DR82" s="1"/>
  <c r="DR81" s="1"/>
  <c r="DR80" s="1"/>
  <c r="DR79" s="1"/>
  <c r="DR78" s="1"/>
  <c r="DR77" s="1"/>
  <c r="DR76" s="1"/>
  <c r="DR75" s="1"/>
  <c r="DS74"/>
  <c r="DQ102"/>
  <c r="DQ101" s="1"/>
  <c r="DQ100" s="1"/>
  <c r="DQ99" s="1"/>
  <c r="DQ98" s="1"/>
  <c r="DQ97" s="1"/>
  <c r="DQ96" s="1"/>
  <c r="R53"/>
  <c r="AZ88"/>
  <c r="AZ84"/>
  <c r="R49"/>
  <c r="BA81"/>
  <c r="S46"/>
  <c r="R47"/>
  <c r="AZ82"/>
  <c r="AZ94"/>
  <c r="R59"/>
  <c r="AZ77"/>
  <c r="R42"/>
  <c r="AZ87"/>
  <c r="R52"/>
  <c r="AZ76"/>
  <c r="R41"/>
  <c r="R61"/>
  <c r="AZ96"/>
  <c r="AZ85"/>
  <c r="R50"/>
  <c r="AZ80"/>
  <c r="R45"/>
  <c r="AZ104"/>
  <c r="R69"/>
  <c r="AZ79"/>
  <c r="R44"/>
  <c r="AZ91"/>
  <c r="R56"/>
  <c r="R62"/>
  <c r="AZ97"/>
  <c r="AZ75"/>
  <c r="R40"/>
  <c r="AZ98"/>
  <c r="R63"/>
  <c r="BA89"/>
  <c r="S54"/>
  <c r="BA95"/>
  <c r="S60"/>
  <c r="BA86"/>
  <c r="S51"/>
  <c r="AZ103"/>
  <c r="DP103" s="1"/>
  <c r="R68"/>
  <c r="AZ100"/>
  <c r="R65"/>
  <c r="AZ99"/>
  <c r="R64"/>
  <c r="AZ102"/>
  <c r="R67"/>
  <c r="AZ74"/>
  <c r="R39"/>
  <c r="BA93"/>
  <c r="S58"/>
  <c r="R57" l="1"/>
  <c r="AY92" s="1"/>
  <c r="R43"/>
  <c r="AY78" s="1"/>
  <c r="N55"/>
  <c r="AU90" s="1"/>
  <c r="AY83"/>
  <c r="Q48"/>
  <c r="AY101"/>
  <c r="Q66"/>
  <c r="DQ95"/>
  <c r="DQ94" s="1"/>
  <c r="DQ93" s="1"/>
  <c r="DQ92" s="1"/>
  <c r="DQ91" s="1"/>
  <c r="DQ90" s="1"/>
  <c r="DQ89" s="1"/>
  <c r="DQ88" s="1"/>
  <c r="DQ87" s="1"/>
  <c r="DQ86" s="1"/>
  <c r="DQ85" s="1"/>
  <c r="DQ84" s="1"/>
  <c r="DQ83" s="1"/>
  <c r="DQ82" s="1"/>
  <c r="DQ81" s="1"/>
  <c r="DQ80" s="1"/>
  <c r="DQ79" s="1"/>
  <c r="DQ78" s="1"/>
  <c r="DQ77" s="1"/>
  <c r="DQ76" s="1"/>
  <c r="DQ75" s="1"/>
  <c r="DR74"/>
  <c r="U74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AY74"/>
  <c r="Q39"/>
  <c r="AY99"/>
  <c r="Q64"/>
  <c r="AY103"/>
  <c r="DO103" s="1"/>
  <c r="Q68"/>
  <c r="AZ95"/>
  <c r="R60"/>
  <c r="AY98"/>
  <c r="Q63"/>
  <c r="Q44"/>
  <c r="AY79"/>
  <c r="AY80"/>
  <c r="Q45"/>
  <c r="AY87"/>
  <c r="Q52"/>
  <c r="AY94"/>
  <c r="Q59"/>
  <c r="AZ81"/>
  <c r="R46"/>
  <c r="Q47"/>
  <c r="AY82"/>
  <c r="AZ93"/>
  <c r="R58"/>
  <c r="AY102"/>
  <c r="Q67"/>
  <c r="AY100"/>
  <c r="Q65"/>
  <c r="AZ86"/>
  <c r="R51"/>
  <c r="AZ89"/>
  <c r="R54"/>
  <c r="Q40"/>
  <c r="AY75"/>
  <c r="Q56"/>
  <c r="AY91"/>
  <c r="AY104"/>
  <c r="Q69"/>
  <c r="AY85"/>
  <c r="Q50"/>
  <c r="AY76"/>
  <c r="Q41"/>
  <c r="AY77"/>
  <c r="Q42"/>
  <c r="AY84"/>
  <c r="Q49"/>
  <c r="Q62"/>
  <c r="AY97"/>
  <c r="Q61"/>
  <c r="AY96"/>
  <c r="Q53"/>
  <c r="AY88"/>
  <c r="DP102"/>
  <c r="DP101" s="1"/>
  <c r="DP100" s="1"/>
  <c r="DP99" s="1"/>
  <c r="DP98" s="1"/>
  <c r="DP97" s="1"/>
  <c r="DP96" s="1"/>
  <c r="Q57" l="1"/>
  <c r="AX92" s="1"/>
  <c r="Q43"/>
  <c r="AX78" s="1"/>
  <c r="M55"/>
  <c r="AT90" s="1"/>
  <c r="AX83"/>
  <c r="P48"/>
  <c r="AX101"/>
  <c r="P66"/>
  <c r="DP95"/>
  <c r="DP94" s="1"/>
  <c r="DP93" s="1"/>
  <c r="DP92" s="1"/>
  <c r="DP91" s="1"/>
  <c r="DP90" s="1"/>
  <c r="DP89" s="1"/>
  <c r="DP88" s="1"/>
  <c r="DP87" s="1"/>
  <c r="DP86" s="1"/>
  <c r="DP85" s="1"/>
  <c r="DP84" s="1"/>
  <c r="DP83" s="1"/>
  <c r="DP82" s="1"/>
  <c r="DP81" s="1"/>
  <c r="DP80" s="1"/>
  <c r="DP79" s="1"/>
  <c r="DP78" s="1"/>
  <c r="DP77" s="1"/>
  <c r="DP76" s="1"/>
  <c r="DP75" s="1"/>
  <c r="S74" s="1"/>
  <c r="S75" s="1"/>
  <c r="S76" s="1"/>
  <c r="S77" s="1"/>
  <c r="S78" s="1"/>
  <c r="S79" s="1"/>
  <c r="S80" s="1"/>
  <c r="S81" s="1"/>
  <c r="S82" s="1"/>
  <c r="S83" s="1"/>
  <c r="S84" s="1"/>
  <c r="S85" s="1"/>
  <c r="S86" s="1"/>
  <c r="S87" s="1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S102" s="1"/>
  <c r="S103" s="1"/>
  <c r="S104" s="1"/>
  <c r="AX84"/>
  <c r="P49"/>
  <c r="AX76"/>
  <c r="P41"/>
  <c r="AX104"/>
  <c r="P69"/>
  <c r="AY86"/>
  <c r="Q51"/>
  <c r="AX102"/>
  <c r="P67"/>
  <c r="AX94"/>
  <c r="P59"/>
  <c r="AX80"/>
  <c r="P45"/>
  <c r="AX98"/>
  <c r="P63"/>
  <c r="AX103"/>
  <c r="DN103" s="1"/>
  <c r="P68"/>
  <c r="AX74"/>
  <c r="P39"/>
  <c r="P53"/>
  <c r="AX88"/>
  <c r="AX97"/>
  <c r="P62"/>
  <c r="AX91"/>
  <c r="P56"/>
  <c r="P44"/>
  <c r="AX79"/>
  <c r="AX77"/>
  <c r="P42"/>
  <c r="AX85"/>
  <c r="P50"/>
  <c r="AY89"/>
  <c r="Q54"/>
  <c r="AX100"/>
  <c r="P65"/>
  <c r="AY93"/>
  <c r="Q58"/>
  <c r="AY81"/>
  <c r="Q46"/>
  <c r="AX87"/>
  <c r="P52"/>
  <c r="AY95"/>
  <c r="Q60"/>
  <c r="AX99"/>
  <c r="P64"/>
  <c r="T74"/>
  <c r="T75" s="1"/>
  <c r="T76" s="1"/>
  <c r="T77" s="1"/>
  <c r="T78" s="1"/>
  <c r="T79" s="1"/>
  <c r="T80" s="1"/>
  <c r="T81" s="1"/>
  <c r="T82" s="1"/>
  <c r="T83" s="1"/>
  <c r="T84" s="1"/>
  <c r="T85" s="1"/>
  <c r="T86" s="1"/>
  <c r="T87" s="1"/>
  <c r="T88" s="1"/>
  <c r="T89" s="1"/>
  <c r="T90" s="1"/>
  <c r="T91" s="1"/>
  <c r="T92" s="1"/>
  <c r="T93" s="1"/>
  <c r="T94" s="1"/>
  <c r="T95" s="1"/>
  <c r="T96" s="1"/>
  <c r="T97" s="1"/>
  <c r="T98" s="1"/>
  <c r="T99" s="1"/>
  <c r="T100" s="1"/>
  <c r="T101" s="1"/>
  <c r="T102" s="1"/>
  <c r="T103" s="1"/>
  <c r="T104" s="1"/>
  <c r="DQ74"/>
  <c r="P61"/>
  <c r="AX96"/>
  <c r="AX75"/>
  <c r="P40"/>
  <c r="P47"/>
  <c r="AX82"/>
  <c r="DO102"/>
  <c r="DO101" s="1"/>
  <c r="DO100" s="1"/>
  <c r="DO99" s="1"/>
  <c r="DO98" s="1"/>
  <c r="DO97" s="1"/>
  <c r="DO96" s="1"/>
  <c r="P57" l="1"/>
  <c r="AW92" s="1"/>
  <c r="P43"/>
  <c r="AW78" s="1"/>
  <c r="L55"/>
  <c r="AS90" s="1"/>
  <c r="AW83"/>
  <c r="O48"/>
  <c r="DN102"/>
  <c r="DN101" s="1"/>
  <c r="DN100" s="1"/>
  <c r="DN99" s="1"/>
  <c r="DN98" s="1"/>
  <c r="DN97" s="1"/>
  <c r="DN96" s="1"/>
  <c r="AW101"/>
  <c r="O66"/>
  <c r="DP74"/>
  <c r="AW99"/>
  <c r="O64"/>
  <c r="AW87"/>
  <c r="O52"/>
  <c r="AX93"/>
  <c r="P58"/>
  <c r="AX89"/>
  <c r="P54"/>
  <c r="AW77"/>
  <c r="O42"/>
  <c r="O56"/>
  <c r="AW91"/>
  <c r="AW103"/>
  <c r="DM103" s="1"/>
  <c r="O68"/>
  <c r="AW80"/>
  <c r="O45"/>
  <c r="AW102"/>
  <c r="O67"/>
  <c r="AW104"/>
  <c r="O69"/>
  <c r="AW84"/>
  <c r="O49"/>
  <c r="AW79"/>
  <c r="O44"/>
  <c r="AW75"/>
  <c r="O40"/>
  <c r="AX95"/>
  <c r="P60"/>
  <c r="AX81"/>
  <c r="P46"/>
  <c r="AW100"/>
  <c r="O65"/>
  <c r="AW85"/>
  <c r="O50"/>
  <c r="O62"/>
  <c r="AW97"/>
  <c r="AW74"/>
  <c r="O39"/>
  <c r="AW98"/>
  <c r="O63"/>
  <c r="AW94"/>
  <c r="O59"/>
  <c r="AX86"/>
  <c r="P51"/>
  <c r="AW76"/>
  <c r="O41"/>
  <c r="O47"/>
  <c r="AW82"/>
  <c r="AW96"/>
  <c r="O61"/>
  <c r="AW88"/>
  <c r="O53"/>
  <c r="DO95"/>
  <c r="DO94" s="1"/>
  <c r="DO93" s="1"/>
  <c r="DO92" s="1"/>
  <c r="DO91" s="1"/>
  <c r="DO90" s="1"/>
  <c r="DO89" s="1"/>
  <c r="DO88" s="1"/>
  <c r="DO87" s="1"/>
  <c r="DO86" s="1"/>
  <c r="DO85" s="1"/>
  <c r="DO84" s="1"/>
  <c r="DO83" s="1"/>
  <c r="DO82" s="1"/>
  <c r="DO81" s="1"/>
  <c r="DO80" s="1"/>
  <c r="DO79" s="1"/>
  <c r="DO78" s="1"/>
  <c r="DO77" s="1"/>
  <c r="DO76" s="1"/>
  <c r="DO75" s="1"/>
  <c r="O57" l="1"/>
  <c r="AV92" s="1"/>
  <c r="O43"/>
  <c r="AV78" s="1"/>
  <c r="K55"/>
  <c r="AR90" s="1"/>
  <c r="AV83"/>
  <c r="N48"/>
  <c r="AV101"/>
  <c r="N66"/>
  <c r="DN95"/>
  <c r="DN94" s="1"/>
  <c r="DN93" s="1"/>
  <c r="DN92" s="1"/>
  <c r="DN91" s="1"/>
  <c r="DN90" s="1"/>
  <c r="DN89" s="1"/>
  <c r="DN88" s="1"/>
  <c r="DN87" s="1"/>
  <c r="DN86" s="1"/>
  <c r="DN85" s="1"/>
  <c r="DN84" s="1"/>
  <c r="DN83" s="1"/>
  <c r="DN82" s="1"/>
  <c r="DN81" s="1"/>
  <c r="DN80" s="1"/>
  <c r="DN79" s="1"/>
  <c r="DN78" s="1"/>
  <c r="DN77" s="1"/>
  <c r="DN76" s="1"/>
  <c r="DN75" s="1"/>
  <c r="DN74" s="1"/>
  <c r="N61"/>
  <c r="AV96"/>
  <c r="AV76"/>
  <c r="N41"/>
  <c r="AV94"/>
  <c r="N59"/>
  <c r="AV74"/>
  <c r="N39"/>
  <c r="AV85"/>
  <c r="N50"/>
  <c r="AW81"/>
  <c r="O46"/>
  <c r="N40"/>
  <c r="AV75"/>
  <c r="AV84"/>
  <c r="N49"/>
  <c r="AV102"/>
  <c r="N67"/>
  <c r="AV103"/>
  <c r="DL103" s="1"/>
  <c r="N68"/>
  <c r="AV77"/>
  <c r="N42"/>
  <c r="AW93"/>
  <c r="O58"/>
  <c r="AV99"/>
  <c r="N64"/>
  <c r="N47"/>
  <c r="AV82"/>
  <c r="N62"/>
  <c r="AV97"/>
  <c r="N56"/>
  <c r="AV91"/>
  <c r="N53"/>
  <c r="AV88"/>
  <c r="AW86"/>
  <c r="O51"/>
  <c r="AV98"/>
  <c r="N63"/>
  <c r="AV100"/>
  <c r="N65"/>
  <c r="AW95"/>
  <c r="O60"/>
  <c r="N44"/>
  <c r="AV79"/>
  <c r="AV104"/>
  <c r="N69"/>
  <c r="AV80"/>
  <c r="N45"/>
  <c r="AW89"/>
  <c r="O54"/>
  <c r="AV87"/>
  <c r="N52"/>
  <c r="R74"/>
  <c r="R75" s="1"/>
  <c r="R76" s="1"/>
  <c r="R77" s="1"/>
  <c r="R78" s="1"/>
  <c r="R79" s="1"/>
  <c r="R80" s="1"/>
  <c r="R81" s="1"/>
  <c r="R82" s="1"/>
  <c r="R83" s="1"/>
  <c r="R84" s="1"/>
  <c r="R85" s="1"/>
  <c r="R86" s="1"/>
  <c r="R87" s="1"/>
  <c r="R88" s="1"/>
  <c r="R89" s="1"/>
  <c r="R90" s="1"/>
  <c r="R91" s="1"/>
  <c r="R92" s="1"/>
  <c r="R93" s="1"/>
  <c r="R94" s="1"/>
  <c r="R95" s="1"/>
  <c r="R96" s="1"/>
  <c r="R97" s="1"/>
  <c r="R98" s="1"/>
  <c r="R99" s="1"/>
  <c r="R100" s="1"/>
  <c r="R101" s="1"/>
  <c r="R102" s="1"/>
  <c r="R103" s="1"/>
  <c r="R104" s="1"/>
  <c r="DO74"/>
  <c r="DM102"/>
  <c r="DM101" s="1"/>
  <c r="DM100" s="1"/>
  <c r="DM99" s="1"/>
  <c r="DM98" s="1"/>
  <c r="DM97" s="1"/>
  <c r="DM96" s="1"/>
  <c r="N57" l="1"/>
  <c r="AU92" s="1"/>
  <c r="N43"/>
  <c r="AU78" s="1"/>
  <c r="J55"/>
  <c r="AQ90" s="1"/>
  <c r="AU83"/>
  <c r="M48"/>
  <c r="AU101"/>
  <c r="M66"/>
  <c r="DM95"/>
  <c r="DM94" s="1"/>
  <c r="DM93" s="1"/>
  <c r="DM92" s="1"/>
  <c r="DM91" s="1"/>
  <c r="DM90" s="1"/>
  <c r="DM89" s="1"/>
  <c r="DM88" s="1"/>
  <c r="DM87" s="1"/>
  <c r="DM86" s="1"/>
  <c r="DM85" s="1"/>
  <c r="DM84" s="1"/>
  <c r="DM83" s="1"/>
  <c r="DM82" s="1"/>
  <c r="DM81" s="1"/>
  <c r="DM80" s="1"/>
  <c r="DM79" s="1"/>
  <c r="DM78" s="1"/>
  <c r="DM77" s="1"/>
  <c r="DM76" s="1"/>
  <c r="DM75" s="1"/>
  <c r="DL102"/>
  <c r="DL101" s="1"/>
  <c r="DL100" s="1"/>
  <c r="DL99" s="1"/>
  <c r="DL98" s="1"/>
  <c r="DL97" s="1"/>
  <c r="DL96" s="1"/>
  <c r="Q74"/>
  <c r="Q75" s="1"/>
  <c r="Q76" s="1"/>
  <c r="Q77" s="1"/>
  <c r="Q78" s="1"/>
  <c r="Q79" s="1"/>
  <c r="Q80" s="1"/>
  <c r="Q81" s="1"/>
  <c r="Q82" s="1"/>
  <c r="Q83" s="1"/>
  <c r="Q84" s="1"/>
  <c r="Q85" s="1"/>
  <c r="Q86" s="1"/>
  <c r="Q87" s="1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M44"/>
  <c r="AU79"/>
  <c r="M56"/>
  <c r="AU91"/>
  <c r="M47"/>
  <c r="AU82"/>
  <c r="AU87"/>
  <c r="M52"/>
  <c r="AU80"/>
  <c r="M45"/>
  <c r="AU100"/>
  <c r="M65"/>
  <c r="AV86"/>
  <c r="N51"/>
  <c r="AV93"/>
  <c r="N58"/>
  <c r="AU103"/>
  <c r="DK103" s="1"/>
  <c r="M68"/>
  <c r="AU84"/>
  <c r="M49"/>
  <c r="AV81"/>
  <c r="N46"/>
  <c r="AU74"/>
  <c r="M39"/>
  <c r="AU76"/>
  <c r="M41"/>
  <c r="M53"/>
  <c r="AU88"/>
  <c r="M62"/>
  <c r="AU97"/>
  <c r="M40"/>
  <c r="AU75"/>
  <c r="M61"/>
  <c r="AU96"/>
  <c r="AV89"/>
  <c r="N54"/>
  <c r="AU104"/>
  <c r="M69"/>
  <c r="AV95"/>
  <c r="N60"/>
  <c r="AU98"/>
  <c r="M63"/>
  <c r="AU99"/>
  <c r="M64"/>
  <c r="AU77"/>
  <c r="M42"/>
  <c r="AU102"/>
  <c r="M67"/>
  <c r="AU85"/>
  <c r="M50"/>
  <c r="AU94"/>
  <c r="M59"/>
  <c r="M57" l="1"/>
  <c r="M43"/>
  <c r="AT78" s="1"/>
  <c r="I55"/>
  <c r="AP90" s="1"/>
  <c r="AT83"/>
  <c r="L48"/>
  <c r="AT101"/>
  <c r="L66"/>
  <c r="DL95"/>
  <c r="DL94" s="1"/>
  <c r="DL93" s="1"/>
  <c r="DL92" s="1"/>
  <c r="DL91" s="1"/>
  <c r="DL90" s="1"/>
  <c r="DL89" s="1"/>
  <c r="DL88" s="1"/>
  <c r="DL87" s="1"/>
  <c r="DL86" s="1"/>
  <c r="DL85" s="1"/>
  <c r="DL84" s="1"/>
  <c r="DL83" s="1"/>
  <c r="DL82" s="1"/>
  <c r="DL81" s="1"/>
  <c r="DL80" s="1"/>
  <c r="DL79" s="1"/>
  <c r="DL78" s="1"/>
  <c r="DL77" s="1"/>
  <c r="DL76" s="1"/>
  <c r="DL75" s="1"/>
  <c r="O74" s="1"/>
  <c r="O75" s="1"/>
  <c r="O76" s="1"/>
  <c r="O77" s="1"/>
  <c r="O78" s="1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O98" s="1"/>
  <c r="O99" s="1"/>
  <c r="O100" s="1"/>
  <c r="O101" s="1"/>
  <c r="O102" s="1"/>
  <c r="O103" s="1"/>
  <c r="O104" s="1"/>
  <c r="L40"/>
  <c r="AT75"/>
  <c r="L53"/>
  <c r="AT88"/>
  <c r="L56"/>
  <c r="AT91"/>
  <c r="AT85"/>
  <c r="L50"/>
  <c r="AT77"/>
  <c r="L42"/>
  <c r="AT98"/>
  <c r="L63"/>
  <c r="AT104"/>
  <c r="L69"/>
  <c r="AT74"/>
  <c r="L39"/>
  <c r="AU93"/>
  <c r="M58"/>
  <c r="AT100"/>
  <c r="L65"/>
  <c r="AT87"/>
  <c r="L52"/>
  <c r="L61"/>
  <c r="AT96"/>
  <c r="L62"/>
  <c r="AT97"/>
  <c r="AT82"/>
  <c r="L47"/>
  <c r="L44"/>
  <c r="AT79"/>
  <c r="DK102"/>
  <c r="DK101" s="1"/>
  <c r="DK100" s="1"/>
  <c r="DK99" s="1"/>
  <c r="DK98" s="1"/>
  <c r="DK97" s="1"/>
  <c r="DK96" s="1"/>
  <c r="P74"/>
  <c r="P75" s="1"/>
  <c r="P76" s="1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P91" s="1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DM74"/>
  <c r="AT84"/>
  <c r="L49"/>
  <c r="AT94"/>
  <c r="L59"/>
  <c r="AT102"/>
  <c r="L67"/>
  <c r="AT99"/>
  <c r="L64"/>
  <c r="AU95"/>
  <c r="M60"/>
  <c r="AU89"/>
  <c r="M54"/>
  <c r="AT76"/>
  <c r="L41"/>
  <c r="AU81"/>
  <c r="M46"/>
  <c r="AT103"/>
  <c r="DJ103" s="1"/>
  <c r="DJ102" s="1"/>
  <c r="DJ101" s="1"/>
  <c r="L68"/>
  <c r="AU86"/>
  <c r="M51"/>
  <c r="AT80"/>
  <c r="L45"/>
  <c r="AT92" l="1"/>
  <c r="L57"/>
  <c r="L43"/>
  <c r="AS78" s="1"/>
  <c r="H55"/>
  <c r="AO90" s="1"/>
  <c r="AS83"/>
  <c r="K48"/>
  <c r="DL74"/>
  <c r="AS101"/>
  <c r="K66"/>
  <c r="DJ100"/>
  <c r="DJ99" s="1"/>
  <c r="DJ98" s="1"/>
  <c r="DJ97" s="1"/>
  <c r="DJ96" s="1"/>
  <c r="AS87"/>
  <c r="K52"/>
  <c r="AT93"/>
  <c r="L58"/>
  <c r="AS104"/>
  <c r="K69"/>
  <c r="AS77"/>
  <c r="K42"/>
  <c r="AS80"/>
  <c r="K45"/>
  <c r="AS103"/>
  <c r="DI103" s="1"/>
  <c r="K68"/>
  <c r="AS76"/>
  <c r="K41"/>
  <c r="AT95"/>
  <c r="L60"/>
  <c r="AS102"/>
  <c r="K67"/>
  <c r="AS84"/>
  <c r="K49"/>
  <c r="AS96"/>
  <c r="K61"/>
  <c r="K53"/>
  <c r="AS88"/>
  <c r="AS82"/>
  <c r="K47"/>
  <c r="AS100"/>
  <c r="K65"/>
  <c r="AS74"/>
  <c r="K39"/>
  <c r="AS98"/>
  <c r="K63"/>
  <c r="AS85"/>
  <c r="K50"/>
  <c r="AT86"/>
  <c r="L51"/>
  <c r="AT81"/>
  <c r="L46"/>
  <c r="AT89"/>
  <c r="L54"/>
  <c r="AS99"/>
  <c r="K64"/>
  <c r="AS94"/>
  <c r="K59"/>
  <c r="K44"/>
  <c r="AS79"/>
  <c r="K62"/>
  <c r="AS97"/>
  <c r="AS91"/>
  <c r="K56"/>
  <c r="K40"/>
  <c r="AS75"/>
  <c r="DK95"/>
  <c r="DK94" s="1"/>
  <c r="DK93" s="1"/>
  <c r="DK92" s="1"/>
  <c r="DK91" s="1"/>
  <c r="DK90" s="1"/>
  <c r="DK89" s="1"/>
  <c r="DK88" s="1"/>
  <c r="DK87" s="1"/>
  <c r="DK86" s="1"/>
  <c r="DK85" s="1"/>
  <c r="DK84" s="1"/>
  <c r="DK83" s="1"/>
  <c r="DK82" s="1"/>
  <c r="DK81" s="1"/>
  <c r="DK80" s="1"/>
  <c r="DK79" s="1"/>
  <c r="DK78" s="1"/>
  <c r="DK77" s="1"/>
  <c r="DK76" s="1"/>
  <c r="DK75" s="1"/>
  <c r="AS92" l="1"/>
  <c r="K57"/>
  <c r="K43"/>
  <c r="AR78" s="1"/>
  <c r="AR83"/>
  <c r="J48"/>
  <c r="AR101"/>
  <c r="J66"/>
  <c r="DJ95"/>
  <c r="DJ94" s="1"/>
  <c r="DJ93" s="1"/>
  <c r="DJ92" s="1"/>
  <c r="DJ91" s="1"/>
  <c r="DJ90" s="1"/>
  <c r="DJ89" s="1"/>
  <c r="DJ88" s="1"/>
  <c r="DJ87" s="1"/>
  <c r="DJ86" s="1"/>
  <c r="DJ85" s="1"/>
  <c r="DJ84" s="1"/>
  <c r="DJ83" s="1"/>
  <c r="DJ82" s="1"/>
  <c r="DJ81" s="1"/>
  <c r="DJ80" s="1"/>
  <c r="DJ79" s="1"/>
  <c r="DJ78" s="1"/>
  <c r="DJ77" s="1"/>
  <c r="DJ76" s="1"/>
  <c r="DJ75" s="1"/>
  <c r="M74" s="1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DI102"/>
  <c r="DI101" s="1"/>
  <c r="DI100" s="1"/>
  <c r="DI99" s="1"/>
  <c r="DI98" s="1"/>
  <c r="DI97" s="1"/>
  <c r="DI96" s="1"/>
  <c r="N74"/>
  <c r="N75" s="1"/>
  <c r="N76" s="1"/>
  <c r="N77" s="1"/>
  <c r="N78" s="1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N98" s="1"/>
  <c r="N99" s="1"/>
  <c r="N100" s="1"/>
  <c r="N101" s="1"/>
  <c r="N102" s="1"/>
  <c r="N103" s="1"/>
  <c r="N104" s="1"/>
  <c r="DK74"/>
  <c r="J56"/>
  <c r="AR91"/>
  <c r="AR99"/>
  <c r="J64"/>
  <c r="AS81"/>
  <c r="K46"/>
  <c r="AR85"/>
  <c r="J50"/>
  <c r="AR74"/>
  <c r="J39"/>
  <c r="J47"/>
  <c r="AR82"/>
  <c r="AR96"/>
  <c r="J61"/>
  <c r="AR102"/>
  <c r="J67"/>
  <c r="AR76"/>
  <c r="J41"/>
  <c r="AR80"/>
  <c r="J45"/>
  <c r="AR104"/>
  <c r="J69"/>
  <c r="AR87"/>
  <c r="J52"/>
  <c r="AR75"/>
  <c r="J40"/>
  <c r="AR97"/>
  <c r="J62"/>
  <c r="J53"/>
  <c r="AR88"/>
  <c r="AR94"/>
  <c r="J59"/>
  <c r="AS89"/>
  <c r="K54"/>
  <c r="AS86"/>
  <c r="K51"/>
  <c r="AR98"/>
  <c r="J63"/>
  <c r="AR100"/>
  <c r="J65"/>
  <c r="AR84"/>
  <c r="J49"/>
  <c r="AS95"/>
  <c r="K60"/>
  <c r="AR103"/>
  <c r="DH103" s="1"/>
  <c r="J68"/>
  <c r="AR77"/>
  <c r="J42"/>
  <c r="AS93"/>
  <c r="K58"/>
  <c r="J44"/>
  <c r="AR79"/>
  <c r="AR92" l="1"/>
  <c r="J57"/>
  <c r="J43"/>
  <c r="AQ78" s="1"/>
  <c r="AQ83"/>
  <c r="I48"/>
  <c r="AQ101"/>
  <c r="I66"/>
  <c r="DI95"/>
  <c r="DI94" s="1"/>
  <c r="DI93" s="1"/>
  <c r="DI92" s="1"/>
  <c r="DI91" s="1"/>
  <c r="DI90" s="1"/>
  <c r="DI89" s="1"/>
  <c r="DI88" s="1"/>
  <c r="DI87" s="1"/>
  <c r="DI86" s="1"/>
  <c r="DI85" s="1"/>
  <c r="DI84" s="1"/>
  <c r="DI83" s="1"/>
  <c r="DI82" s="1"/>
  <c r="DI81" s="1"/>
  <c r="DI80" s="1"/>
  <c r="DI79" s="1"/>
  <c r="DI78" s="1"/>
  <c r="DI77" s="1"/>
  <c r="DI76" s="1"/>
  <c r="DI75" s="1"/>
  <c r="DI74" s="1"/>
  <c r="DH102"/>
  <c r="DH101" s="1"/>
  <c r="DH100" s="1"/>
  <c r="DH99" s="1"/>
  <c r="DH98" s="1"/>
  <c r="DH97" s="1"/>
  <c r="DH96" s="1"/>
  <c r="DJ74"/>
  <c r="AQ103"/>
  <c r="DG103" s="1"/>
  <c r="I68"/>
  <c r="I40"/>
  <c r="AQ75"/>
  <c r="I61"/>
  <c r="AQ96"/>
  <c r="I53"/>
  <c r="AQ88"/>
  <c r="AQ91"/>
  <c r="I56"/>
  <c r="AR93"/>
  <c r="J58"/>
  <c r="AQ98"/>
  <c r="I63"/>
  <c r="AQ104"/>
  <c r="I69"/>
  <c r="AQ74"/>
  <c r="I39"/>
  <c r="AQ82"/>
  <c r="I47"/>
  <c r="AQ84"/>
  <c r="I49"/>
  <c r="AR89"/>
  <c r="J54"/>
  <c r="AQ76"/>
  <c r="I41"/>
  <c r="AR81"/>
  <c r="J46"/>
  <c r="AQ79"/>
  <c r="I44"/>
  <c r="AQ77"/>
  <c r="I42"/>
  <c r="AR95"/>
  <c r="J60"/>
  <c r="AQ100"/>
  <c r="I65"/>
  <c r="AR86"/>
  <c r="J51"/>
  <c r="AQ94"/>
  <c r="I59"/>
  <c r="I62"/>
  <c r="AQ97"/>
  <c r="AQ87"/>
  <c r="I52"/>
  <c r="AQ80"/>
  <c r="I45"/>
  <c r="AQ102"/>
  <c r="I67"/>
  <c r="AQ85"/>
  <c r="I50"/>
  <c r="AQ99"/>
  <c r="I64"/>
  <c r="AQ92" l="1"/>
  <c r="I57"/>
  <c r="I43"/>
  <c r="AP78" s="1"/>
  <c r="AP83"/>
  <c r="H48"/>
  <c r="AO83" s="1"/>
  <c r="AP101"/>
  <c r="H66"/>
  <c r="AO101" s="1"/>
  <c r="DH95"/>
  <c r="DH94" s="1"/>
  <c r="DH93" s="1"/>
  <c r="DH92" s="1"/>
  <c r="DH91" s="1"/>
  <c r="DH90" s="1"/>
  <c r="DH89" s="1"/>
  <c r="DH88" s="1"/>
  <c r="DH87" s="1"/>
  <c r="DH86" s="1"/>
  <c r="DH85" s="1"/>
  <c r="DH84" s="1"/>
  <c r="DH83" s="1"/>
  <c r="DH82" s="1"/>
  <c r="DH81" s="1"/>
  <c r="DH80" s="1"/>
  <c r="DH79" s="1"/>
  <c r="DH78" s="1"/>
  <c r="DH77" s="1"/>
  <c r="DH76" s="1"/>
  <c r="DH75" s="1"/>
  <c r="L74"/>
  <c r="L75" s="1"/>
  <c r="L76" s="1"/>
  <c r="L77" s="1"/>
  <c r="L78" s="1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AP99"/>
  <c r="H64"/>
  <c r="AO99" s="1"/>
  <c r="AP87"/>
  <c r="H52"/>
  <c r="AO87" s="1"/>
  <c r="AP100"/>
  <c r="H65"/>
  <c r="AO100" s="1"/>
  <c r="AQ81"/>
  <c r="I46"/>
  <c r="AQ89"/>
  <c r="I54"/>
  <c r="H47"/>
  <c r="AO82" s="1"/>
  <c r="AP82"/>
  <c r="AP104"/>
  <c r="H69"/>
  <c r="AO104" s="1"/>
  <c r="AQ93"/>
  <c r="I58"/>
  <c r="H61"/>
  <c r="AO96" s="1"/>
  <c r="AP96"/>
  <c r="DG102"/>
  <c r="DG101" s="1"/>
  <c r="DG100" s="1"/>
  <c r="DG99" s="1"/>
  <c r="DG98" s="1"/>
  <c r="DG97" s="1"/>
  <c r="DG96" s="1"/>
  <c r="AP85"/>
  <c r="H50"/>
  <c r="AO85" s="1"/>
  <c r="AP80"/>
  <c r="H45"/>
  <c r="AO80" s="1"/>
  <c r="AQ86"/>
  <c r="I51"/>
  <c r="AQ95"/>
  <c r="I60"/>
  <c r="AP79"/>
  <c r="H44"/>
  <c r="AO79" s="1"/>
  <c r="AP76"/>
  <c r="H41"/>
  <c r="AO76" s="1"/>
  <c r="AP84"/>
  <c r="H49"/>
  <c r="AO84" s="1"/>
  <c r="H39"/>
  <c r="AO74" s="1"/>
  <c r="AP74"/>
  <c r="AP98"/>
  <c r="H63"/>
  <c r="AO98" s="1"/>
  <c r="H56"/>
  <c r="AO91" s="1"/>
  <c r="AP91"/>
  <c r="H40"/>
  <c r="AO75" s="1"/>
  <c r="AP75"/>
  <c r="AP88"/>
  <c r="H53"/>
  <c r="AO88" s="1"/>
  <c r="AP102"/>
  <c r="H67"/>
  <c r="AO102" s="1"/>
  <c r="AP94"/>
  <c r="H59"/>
  <c r="AO94" s="1"/>
  <c r="AP77"/>
  <c r="H42"/>
  <c r="AO77" s="1"/>
  <c r="H62"/>
  <c r="AO97" s="1"/>
  <c r="AP97"/>
  <c r="AP103"/>
  <c r="DF103" s="1"/>
  <c r="H68"/>
  <c r="AO103" s="1"/>
  <c r="DE103" s="1"/>
  <c r="H43"/>
  <c r="AO78" s="1"/>
  <c r="AP92" l="1"/>
  <c r="H57"/>
  <c r="AO92" s="1"/>
  <c r="DE102"/>
  <c r="DE101" s="1"/>
  <c r="DE100" s="1"/>
  <c r="DE99" s="1"/>
  <c r="DE98" s="1"/>
  <c r="DE97" s="1"/>
  <c r="DE96" s="1"/>
  <c r="DF102"/>
  <c r="DF101" s="1"/>
  <c r="DF100" s="1"/>
  <c r="DF99" s="1"/>
  <c r="DF98" s="1"/>
  <c r="DF97" s="1"/>
  <c r="DF96" s="1"/>
  <c r="AP86"/>
  <c r="H51"/>
  <c r="AO86" s="1"/>
  <c r="K74"/>
  <c r="K75" s="1"/>
  <c r="K76" s="1"/>
  <c r="K77" s="1"/>
  <c r="K78" s="1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K98" s="1"/>
  <c r="K99" s="1"/>
  <c r="K100" s="1"/>
  <c r="K101" s="1"/>
  <c r="K102" s="1"/>
  <c r="K103" s="1"/>
  <c r="K104" s="1"/>
  <c r="DH74"/>
  <c r="AP89"/>
  <c r="H54"/>
  <c r="AO89" s="1"/>
  <c r="AP95"/>
  <c r="H60"/>
  <c r="AO95" s="1"/>
  <c r="DG95"/>
  <c r="DG94" s="1"/>
  <c r="DG93" s="1"/>
  <c r="DG92" s="1"/>
  <c r="DG91" s="1"/>
  <c r="DG90" s="1"/>
  <c r="DG89" s="1"/>
  <c r="DG88" s="1"/>
  <c r="DG87" s="1"/>
  <c r="DG86" s="1"/>
  <c r="DG85" s="1"/>
  <c r="DG84" s="1"/>
  <c r="DG83" s="1"/>
  <c r="DG82" s="1"/>
  <c r="DG81" s="1"/>
  <c r="DG80" s="1"/>
  <c r="DG79" s="1"/>
  <c r="DG78" s="1"/>
  <c r="DG77" s="1"/>
  <c r="DG76" s="1"/>
  <c r="DG75" s="1"/>
  <c r="AP93"/>
  <c r="H58"/>
  <c r="AO93" s="1"/>
  <c r="AP81"/>
  <c r="H46"/>
  <c r="AO81" s="1"/>
  <c r="DF95" l="1"/>
  <c r="DF94" s="1"/>
  <c r="DF93" s="1"/>
  <c r="DF92" s="1"/>
  <c r="DF91" s="1"/>
  <c r="DF90" s="1"/>
  <c r="DF89" s="1"/>
  <c r="DF88" s="1"/>
  <c r="DF87" s="1"/>
  <c r="DF86" s="1"/>
  <c r="DF85" s="1"/>
  <c r="DF84" s="1"/>
  <c r="DF83" s="1"/>
  <c r="DF82" s="1"/>
  <c r="DF81" s="1"/>
  <c r="DF80" s="1"/>
  <c r="DF79" s="1"/>
  <c r="DF78" s="1"/>
  <c r="DF77" s="1"/>
  <c r="DF76" s="1"/>
  <c r="DF75" s="1"/>
  <c r="DE95"/>
  <c r="DE94" s="1"/>
  <c r="DE93" s="1"/>
  <c r="DE92" s="1"/>
  <c r="DE91" s="1"/>
  <c r="DE90" s="1"/>
  <c r="DE89" s="1"/>
  <c r="DE88" s="1"/>
  <c r="DE87" s="1"/>
  <c r="DE86" s="1"/>
  <c r="DE85" s="1"/>
  <c r="DE84" s="1"/>
  <c r="DE83" s="1"/>
  <c r="DE82" s="1"/>
  <c r="DE81" s="1"/>
  <c r="DE80" s="1"/>
  <c r="DE79" s="1"/>
  <c r="DE78" s="1"/>
  <c r="DE77" s="1"/>
  <c r="DE76" s="1"/>
  <c r="DE75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DG74"/>
  <c r="J74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I74" l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DF74"/>
  <c r="DE74"/>
</calcChain>
</file>

<file path=xl/sharedStrings.xml><?xml version="1.0" encoding="utf-8"?>
<sst xmlns="http://schemas.openxmlformats.org/spreadsheetml/2006/main" count="33" uniqueCount="30">
  <si>
    <t>L</t>
  </si>
  <si>
    <t>dx</t>
  </si>
  <si>
    <t>dt</t>
  </si>
  <si>
    <t>t</t>
  </si>
  <si>
    <t>Cp</t>
  </si>
  <si>
    <t>ro</t>
  </si>
  <si>
    <t>A</t>
  </si>
  <si>
    <t>B</t>
  </si>
  <si>
    <t>C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</si>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</sst>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>
  <numFmts count="1">
    <numFmt numFmtId="164" formatCode="0.0000"/>
  </numFmts>
  <fonts count="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2" borderId="2" applyNumberFormat="0" applyAlignment="0" applyProtection="0"/>
    <xf numFmtId="0" fontId="1" fillId="3" borderId="3" applyNumberFormat="0" applyFont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0" xfId="0" applyFill="1"/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0" xfId="0" applyBorder="1"/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9" xfId="0" applyFill="1" applyBorder="1"/>
    <xf numFmtId="0" fontId="0" fillId="8" borderId="7" xfId="0" applyFill="1" applyBorder="1"/>
    <xf numFmtId="0" fontId="0" fillId="8" borderId="6" xfId="0" applyFill="1" applyBorder="1"/>
    <xf numFmtId="0" fontId="5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10" borderId="1" xfId="2" applyFont="1" applyFill="1" applyBorder="1" applyAlignment="1">
      <alignment horizontal="center" vertical="center" wrapText="1"/>
    </xf>
    <xf numFmtId="0" fontId="0" fillId="10" borderId="1" xfId="2" applyFont="1" applyFill="1" applyBorder="1" applyAlignment="1">
      <alignment horizontal="center" vertical="center"/>
    </xf>
    <xf numFmtId="0" fontId="0" fillId="10" borderId="1" xfId="2" applyFont="1" applyFill="1" applyBorder="1" applyAlignment="1">
      <alignment horizontal="center"/>
    </xf>
    <xf numFmtId="164" fontId="0" fillId="10" borderId="1" xfId="2" applyNumberFormat="1" applyFont="1" applyFill="1" applyBorder="1" applyAlignment="1">
      <alignment horizontal="center"/>
    </xf>
    <xf numFmtId="0" fontId="2" fillId="10" borderId="4" xfId="1" applyFill="1" applyBorder="1"/>
    <xf numFmtId="0" fontId="1" fillId="11" borderId="1" xfId="5" applyFill="1" applyBorder="1" applyAlignment="1">
      <alignment horizontal="center" vertical="center"/>
    </xf>
    <xf numFmtId="0" fontId="0" fillId="11" borderId="1" xfId="5" applyFont="1" applyFill="1" applyBorder="1" applyAlignment="1">
      <alignment horizontal="center" vertical="center"/>
    </xf>
    <xf numFmtId="0" fontId="1" fillId="11" borderId="1" xfId="5" applyFill="1" applyBorder="1" applyAlignment="1">
      <alignment horizontal="center" vertical="center"/>
    </xf>
    <xf numFmtId="0" fontId="1" fillId="12" borderId="1" xfId="6" applyFill="1" applyBorder="1" applyAlignment="1">
      <alignment horizontal="center" vertical="center"/>
    </xf>
    <xf numFmtId="0" fontId="0" fillId="12" borderId="1" xfId="6" applyFont="1" applyFill="1" applyBorder="1" applyAlignment="1">
      <alignment horizontal="center" vertical="center"/>
    </xf>
    <xf numFmtId="0" fontId="1" fillId="12" borderId="1" xfId="6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0" fillId="13" borderId="1" xfId="4" applyFont="1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3" fillId="14" borderId="1" xfId="3" applyFill="1" applyBorder="1" applyAlignment="1">
      <alignment horizontal="center" vertical="center"/>
    </xf>
    <xf numFmtId="0" fontId="3" fillId="14" borderId="1" xfId="3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</cellXfs>
  <cellStyles count="7">
    <cellStyle name="40% - Акцент2" xfId="4" builtinId="35"/>
    <cellStyle name="40% - Акцент3" xfId="5" builtinId="39"/>
    <cellStyle name="40% -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7.8075087106157653E-2"/>
          <c:y val="3.1760318636701715E-2"/>
          <c:w val="0.76891278232984672"/>
          <c:h val="0.92869001578219423"/>
        </c:manualLayout>
      </c:layout>
      <c:lineChart>
        <c:grouping val="standard"/>
        <c:ser>
          <c:idx val="1"/>
          <c:order val="0"/>
          <c:tx>
            <c:v>Неявный2Д</c:v>
          </c:tx>
          <c:marker>
            <c:symbol val="none"/>
          </c:marker>
          <c:val>
            <c:numRef>
              <c:f>'2Д Неявный'!$G$17:$AK$17</c:f>
              <c:numCache>
                <c:formatCode>General</c:formatCode>
                <c:ptCount val="31"/>
                <c:pt idx="0">
                  <c:v>300</c:v>
                </c:pt>
                <c:pt idx="1">
                  <c:v>289.33575194387373</c:v>
                </c:pt>
                <c:pt idx="2">
                  <c:v>278.71555889862645</c:v>
                </c:pt>
                <c:pt idx="3">
                  <c:v>268.18298196962741</c:v>
                </c:pt>
                <c:pt idx="4">
                  <c:v>257.7806003544967</c:v>
                </c:pt>
                <c:pt idx="5">
                  <c:v>247.54953506111843</c:v>
                </c:pt>
                <c:pt idx="6">
                  <c:v>237.52898999220542</c:v>
                </c:pt>
                <c:pt idx="7">
                  <c:v>227.75581579138782</c:v>
                </c:pt>
                <c:pt idx="8">
                  <c:v>218.26410151926518</c:v>
                </c:pt>
                <c:pt idx="9">
                  <c:v>209.0847988331156</c:v>
                </c:pt>
                <c:pt idx="10">
                  <c:v>200.24538288928028</c:v>
                </c:pt>
                <c:pt idx="11">
                  <c:v>191.76955368195661</c:v>
                </c:pt>
                <c:pt idx="12">
                  <c:v>183.67698098631092</c:v>
                </c:pt>
                <c:pt idx="13">
                  <c:v>175.98309549794556</c:v>
                </c:pt>
                <c:pt idx="14">
                  <c:v>168.69892816544029</c:v>
                </c:pt>
                <c:pt idx="15">
                  <c:v>161.83099910835958</c:v>
                </c:pt>
                <c:pt idx="16">
                  <c:v>155.38125690970497</c:v>
                </c:pt>
                <c:pt idx="17">
                  <c:v>149.34706847853278</c:v>
                </c:pt>
                <c:pt idx="18">
                  <c:v>143.7212591036174</c:v>
                </c:pt>
                <c:pt idx="19">
                  <c:v>138.49220176979506</c:v>
                </c:pt>
                <c:pt idx="20">
                  <c:v>133.64395429092639</c:v>
                </c:pt>
                <c:pt idx="21">
                  <c:v>129.15644233194536</c:v>
                </c:pt>
                <c:pt idx="22">
                  <c:v>125.00568595060153</c:v>
                </c:pt>
                <c:pt idx="23">
                  <c:v>121.16406688942151</c:v>
                </c:pt>
                <c:pt idx="24">
                  <c:v>117.60063349112168</c:v>
                </c:pt>
                <c:pt idx="25">
                  <c:v>114.28143979622544</c:v>
                </c:pt>
                <c:pt idx="26">
                  <c:v>111.16991510914833</c:v>
                </c:pt>
                <c:pt idx="27">
                  <c:v>108.22726008707389</c:v>
                </c:pt>
                <c:pt idx="28">
                  <c:v>105.41286521265643</c:v>
                </c:pt>
                <c:pt idx="29">
                  <c:v>102.68474735486492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spPr>
            <a:ln>
              <a:solidFill>
                <a:srgbClr val="002060"/>
              </a:solidFill>
              <a:prstDash val="dash"/>
            </a:ln>
          </c:spPr>
          <c:marker>
            <c:symbol val="none"/>
          </c:marker>
          <c:val>
            <c:numRef>
              <c:f>[2]Неявный!$F$22:$AJ$22</c:f>
              <c:numCache>
                <c:formatCode>General</c:formatCode>
                <c:ptCount val="31"/>
                <c:pt idx="0">
                  <c:v>300</c:v>
                </c:pt>
                <c:pt idx="1">
                  <c:v>289.35500637271548</c:v>
                </c:pt>
                <c:pt idx="2">
                  <c:v>278.75424099099303</c:v>
                </c:pt>
                <c:pt idx="3">
                  <c:v>268.24141882575123</c:v>
                </c:pt>
                <c:pt idx="4">
                  <c:v>257.8592352447767</c:v>
                </c:pt>
                <c:pt idx="5">
                  <c:v>247.64887343586184</c:v>
                </c:pt>
                <c:pt idx="6">
                  <c:v>237.64953211072174</c:v>
                </c:pt>
                <c:pt idx="7">
                  <c:v>227.89797961669265</c:v>
                </c:pt>
                <c:pt idx="8">
                  <c:v>218.42814006927904</c:v>
                </c:pt>
                <c:pt idx="9">
                  <c:v>209.27071651040302</c:v>
                </c:pt>
                <c:pt idx="10">
                  <c:v>200.45285541479251</c:v>
                </c:pt>
                <c:pt idx="11">
                  <c:v>191.99785613191676</c:v>
                </c:pt>
                <c:pt idx="12">
                  <c:v>183.92492808531293</c:v>
                </c:pt>
                <c:pt idx="13">
                  <c:v>176.24899777657697</c:v>
                </c:pt>
                <c:pt idx="14">
                  <c:v>168.9805668777681</c:v>
                </c:pt>
                <c:pt idx="15">
                  <c:v>162.12562196130943</c:v>
                </c:pt>
                <c:pt idx="16">
                  <c:v>155.68559572562685</c:v>
                </c:pt>
                <c:pt idx="17">
                  <c:v>149.65737893948611</c:v>
                </c:pt>
                <c:pt idx="18">
                  <c:v>144.03338175659823</c:v>
                </c:pt>
                <c:pt idx="19">
                  <c:v>138.80164254950398</c:v>
                </c:pt>
                <c:pt idx="20">
                  <c:v>133.94598197978183</c:v>
                </c:pt>
                <c:pt idx="21">
                  <c:v>129.44619965916871</c:v>
                </c:pt>
                <c:pt idx="22">
                  <c:v>125.27831045977092</c:v>
                </c:pt>
                <c:pt idx="23">
                  <c:v>121.4148172958373</c:v>
                </c:pt>
                <c:pt idx="24">
                  <c:v>117.82501701789874</c:v>
                </c:pt>
                <c:pt idx="25">
                  <c:v>114.47533592497577</c:v>
                </c:pt>
                <c:pt idx="26">
                  <c:v>111.32969130423045</c:v>
                </c:pt>
                <c:pt idx="27">
                  <c:v>108.34987534220593</c:v>
                </c:pt>
                <c:pt idx="28">
                  <c:v>105.49595771041874</c:v>
                </c:pt>
                <c:pt idx="29">
                  <c:v>102.72670310402944</c:v>
                </c:pt>
                <c:pt idx="3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marker val="1"/>
        <c:axId val="156828032"/>
        <c:axId val="156830336"/>
      </c:lineChart>
      <c:catAx>
        <c:axId val="156828032"/>
        <c:scaling>
          <c:orientation val="minMax"/>
        </c:scaling>
        <c:axPos val="b"/>
        <c:tickLblPos val="nextTo"/>
        <c:crossAx val="156830336"/>
        <c:crosses val="autoZero"/>
        <c:auto val="1"/>
        <c:lblAlgn val="ctr"/>
        <c:lblOffset val="100"/>
      </c:catAx>
      <c:valAx>
        <c:axId val="156830336"/>
        <c:scaling>
          <c:orientation val="minMax"/>
        </c:scaling>
        <c:axPos val="l"/>
        <c:majorGridlines/>
        <c:numFmt formatCode="General" sourceLinked="1"/>
        <c:tickLblPos val="nextTo"/>
        <c:crossAx val="156828032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484910</xdr:colOff>
      <xdr:row>1</xdr:row>
      <xdr:rowOff>110837</xdr:rowOff>
    </xdr:from>
    <xdr:to>
      <xdr:col>53</xdr:col>
      <xdr:colOff>68190</xdr:colOff>
      <xdr:row>35</xdr:row>
      <xdr:rowOff>72739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etze/Downloads/Prkt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etze/Downloads/Prkt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2Д Неявный"/>
      <sheetName val="Неявный"/>
      <sheetName val="Явный"/>
    </sheetNames>
    <sheetDataSet>
      <sheetData sheetId="0" refreshError="1"/>
      <sheetData sheetId="1">
        <row r="13">
          <cell r="F13">
            <v>300</v>
          </cell>
          <cell r="G13">
            <v>293.33317369852296</v>
          </cell>
          <cell r="H13">
            <v>286.66634914603827</v>
          </cell>
          <cell r="I13">
            <v>279.99952807237605</v>
          </cell>
          <cell r="J13">
            <v>273.33271216925164</v>
          </cell>
          <cell r="K13">
            <v>266.6659030717309</v>
          </cell>
          <cell r="L13">
            <v>259.99910234031609</v>
          </cell>
          <cell r="M13">
            <v>253.3323114438486</v>
          </cell>
          <cell r="N13">
            <v>246.66553174341618</v>
          </cell>
          <cell r="O13">
            <v>239.99876447744043</v>
          </cell>
          <cell r="P13">
            <v>233.33201074810836</v>
          </cell>
          <cell r="Q13">
            <v>226.66527150929673</v>
          </cell>
          <cell r="R13">
            <v>219.99854755612122</v>
          </cell>
          <cell r="S13">
            <v>213.33183951622479</v>
          </cell>
          <cell r="T13">
            <v>206.66514784290121</v>
          </cell>
          <cell r="U13">
            <v>199.99847281012859</v>
          </cell>
          <cell r="V13">
            <v>193.33181450956783</v>
          </cell>
          <cell r="W13">
            <v>186.66517284955808</v>
          </cell>
          <cell r="X13">
            <v>179.9985475561212</v>
          </cell>
          <cell r="Y13">
            <v>173.33193817596336</v>
          </cell>
          <cell r="Z13">
            <v>166.66534408144162</v>
          </cell>
          <cell r="AA13">
            <v>159.99876447744037</v>
          </cell>
          <cell r="AB13">
            <v>153.33219841008287</v>
          </cell>
          <cell r="AC13">
            <v>146.665644777182</v>
          </cell>
          <cell r="AD13">
            <v>139.99910234031614</v>
          </cell>
          <cell r="AE13">
            <v>133.33256973839764</v>
          </cell>
          <cell r="AF13">
            <v>126.66604550258504</v>
          </cell>
          <cell r="AG13">
            <v>119.99952807237608</v>
          </cell>
          <cell r="AH13">
            <v>113.33301581270496</v>
          </cell>
          <cell r="AI13">
            <v>106.66650703185627</v>
          </cell>
          <cell r="AJ13">
            <v>100</v>
          </cell>
        </row>
        <row r="22">
          <cell r="F22">
            <v>300</v>
          </cell>
          <cell r="G22">
            <v>289.35500637271548</v>
          </cell>
          <cell r="H22">
            <v>278.75424099099303</v>
          </cell>
          <cell r="I22">
            <v>268.24141882575123</v>
          </cell>
          <cell r="J22">
            <v>257.8592352447767</v>
          </cell>
          <cell r="K22">
            <v>247.64887343586184</v>
          </cell>
          <cell r="L22">
            <v>237.64953211072174</v>
          </cell>
          <cell r="M22">
            <v>227.89797961669265</v>
          </cell>
          <cell r="N22">
            <v>218.42814006927904</v>
          </cell>
          <cell r="O22">
            <v>209.27071651040302</v>
          </cell>
          <cell r="P22">
            <v>200.45285541479251</v>
          </cell>
          <cell r="Q22">
            <v>191.99785613191676</v>
          </cell>
          <cell r="R22">
            <v>183.92492808531293</v>
          </cell>
          <cell r="S22">
            <v>176.24899777657697</v>
          </cell>
          <cell r="T22">
            <v>168.9805668777681</v>
          </cell>
          <cell r="U22">
            <v>162.12562196130943</v>
          </cell>
          <cell r="V22">
            <v>155.68559572562685</v>
          </cell>
          <cell r="W22">
            <v>149.65737893948611</v>
          </cell>
          <cell r="X22">
            <v>144.03338175659823</v>
          </cell>
          <cell r="Y22">
            <v>138.80164254950398</v>
          </cell>
          <cell r="Z22">
            <v>133.94598197978183</v>
          </cell>
          <cell r="AA22">
            <v>129.44619965916871</v>
          </cell>
          <cell r="AB22">
            <v>125.27831045977092</v>
          </cell>
          <cell r="AC22">
            <v>121.4148172958373</v>
          </cell>
          <cell r="AD22">
            <v>117.82501701789874</v>
          </cell>
          <cell r="AE22">
            <v>114.47533592497577</v>
          </cell>
          <cell r="AF22">
            <v>111.32969130423045</v>
          </cell>
          <cell r="AG22">
            <v>108.34987534220593</v>
          </cell>
          <cell r="AH22">
            <v>105.49595771041874</v>
          </cell>
          <cell r="AI22">
            <v>102.72670310402944</v>
          </cell>
          <cell r="AJ22">
            <v>100</v>
          </cell>
        </row>
      </sheetData>
      <sheetData sheetId="2">
        <row r="13">
          <cell r="F13">
            <v>300</v>
          </cell>
          <cell r="G13">
            <v>280.33248702411498</v>
          </cell>
          <cell r="H13">
            <v>260.82943111125104</v>
          </cell>
          <cell r="I13">
            <v>241.65241041627974</v>
          </cell>
          <cell r="J13">
            <v>222.95733520467056</v>
          </cell>
          <cell r="K13">
            <v>204.89183406861548</v>
          </cell>
          <cell r="L13">
            <v>187.59289162100396</v>
          </cell>
          <cell r="M13">
            <v>171.18480124452063</v>
          </cell>
          <cell r="N13">
            <v>155.77748092073821</v>
          </cell>
          <cell r="O13">
            <v>141.46518280387318</v>
          </cell>
          <cell r="P13">
            <v>128.32560916526384</v>
          </cell>
          <cell r="Q13">
            <v>116.41942975288697</v>
          </cell>
          <cell r="R13">
            <v>105.79017953158954</v>
          </cell>
          <cell r="S13">
            <v>96.464502083957584</v>
          </cell>
          <cell r="T13">
            <v>88.452693321787663</v>
          </cell>
          <cell r="U13">
            <v>81.749492991935327</v>
          </cell>
          <cell r="V13">
            <v>76.335067884064244</v>
          </cell>
          <cell r="W13">
            <v>72.176130526888727</v>
          </cell>
          <cell r="X13">
            <v>69.227140117118267</v>
          </cell>
          <cell r="Y13">
            <v>67.431537904562404</v>
          </cell>
          <cell r="Z13">
            <v>66.722976570188905</v>
          </cell>
          <cell r="AA13">
            <v>67.026511544344075</v>
          </cell>
          <cell r="AB13">
            <v>68.259730989291498</v>
          </cell>
          <cell r="AC13">
            <v>70.333809663175956</v>
          </cell>
          <cell r="AD13">
            <v>73.154479558885129</v>
          </cell>
          <cell r="AE13">
            <v>76.622916700669137</v>
          </cell>
          <cell r="AF13">
            <v>80.636548580288988</v>
          </cell>
          <cell r="AG13">
            <v>85.089790392026359</v>
          </cell>
          <cell r="AH13">
            <v>89.874720594298054</v>
          </cell>
          <cell r="AI13">
            <v>94.881707612924288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1:EH162"/>
  <sheetViews>
    <sheetView tabSelected="1" zoomScale="55" zoomScaleNormal="55" workbookViewId="0">
      <selection activeCell="CH91" sqref="CH91"/>
    </sheetView>
  </sheetViews>
  <sheetFormatPr defaultRowHeight="14.4"/>
  <cols>
    <col min="1" max="1" width="14.33203125" customWidth="1"/>
    <col min="2" max="2" width="13.6640625" customWidth="1"/>
    <col min="5" max="5" width="11.33203125" customWidth="1"/>
    <col min="6" max="6" width="11.88671875" customWidth="1"/>
    <col min="8" max="37" width="10.5546875" bestFit="1" customWidth="1"/>
    <col min="40" max="40" width="11.6640625" bestFit="1" customWidth="1"/>
    <col min="73" max="73" width="10.44140625" customWidth="1"/>
  </cols>
  <sheetData>
    <row r="1" spans="1:39" ht="16.5" customHeight="1">
      <c r="A1" s="20" t="s">
        <v>9</v>
      </c>
      <c r="B1" s="20"/>
      <c r="E1" s="4" t="s">
        <v>20</v>
      </c>
      <c r="F1" s="4"/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3"/>
      <c r="AM1" s="14"/>
    </row>
    <row r="2" spans="1:39">
      <c r="A2" s="20"/>
      <c r="B2" s="20"/>
      <c r="E2" s="4"/>
      <c r="F2" s="4" t="s">
        <v>21</v>
      </c>
      <c r="G2" s="4">
        <v>0</v>
      </c>
      <c r="H2" s="5">
        <f>$B$5*(H1-1)</f>
        <v>3.3333333333333335E-3</v>
      </c>
      <c r="I2" s="5">
        <f t="shared" ref="I2:AK2" si="0">$B$5*(I1-1)</f>
        <v>6.6666666666666671E-3</v>
      </c>
      <c r="J2" s="5">
        <f t="shared" si="0"/>
        <v>0.01</v>
      </c>
      <c r="K2" s="5">
        <f t="shared" si="0"/>
        <v>1.3333333333333334E-2</v>
      </c>
      <c r="L2" s="5">
        <f t="shared" si="0"/>
        <v>1.6666666666666666E-2</v>
      </c>
      <c r="M2" s="5">
        <f t="shared" si="0"/>
        <v>0.02</v>
      </c>
      <c r="N2" s="5">
        <f t="shared" si="0"/>
        <v>2.3333333333333334E-2</v>
      </c>
      <c r="O2" s="5">
        <f t="shared" si="0"/>
        <v>2.6666666666666668E-2</v>
      </c>
      <c r="P2" s="5">
        <f t="shared" si="0"/>
        <v>3.0000000000000002E-2</v>
      </c>
      <c r="Q2" s="5">
        <f t="shared" si="0"/>
        <v>3.3333333333333333E-2</v>
      </c>
      <c r="R2" s="5">
        <f t="shared" si="0"/>
        <v>3.6666666666666667E-2</v>
      </c>
      <c r="S2" s="5">
        <f t="shared" si="0"/>
        <v>0.04</v>
      </c>
      <c r="T2" s="5">
        <f t="shared" si="0"/>
        <v>4.3333333333333335E-2</v>
      </c>
      <c r="U2" s="5">
        <f t="shared" si="0"/>
        <v>4.6666666666666669E-2</v>
      </c>
      <c r="V2" s="5">
        <f t="shared" si="0"/>
        <v>0.05</v>
      </c>
      <c r="W2" s="5">
        <f t="shared" si="0"/>
        <v>5.3333333333333337E-2</v>
      </c>
      <c r="X2" s="5">
        <f t="shared" si="0"/>
        <v>5.6666666666666671E-2</v>
      </c>
      <c r="Y2" s="5">
        <f t="shared" si="0"/>
        <v>6.0000000000000005E-2</v>
      </c>
      <c r="Z2" s="5">
        <f t="shared" si="0"/>
        <v>6.3333333333333339E-2</v>
      </c>
      <c r="AA2" s="5">
        <f t="shared" si="0"/>
        <v>6.6666666666666666E-2</v>
      </c>
      <c r="AB2" s="5">
        <f t="shared" si="0"/>
        <v>7.0000000000000007E-2</v>
      </c>
      <c r="AC2" s="5">
        <f t="shared" si="0"/>
        <v>7.3333333333333334E-2</v>
      </c>
      <c r="AD2" s="5">
        <f t="shared" si="0"/>
        <v>7.6666666666666675E-2</v>
      </c>
      <c r="AE2" s="5">
        <f t="shared" si="0"/>
        <v>0.08</v>
      </c>
      <c r="AF2" s="5">
        <f t="shared" si="0"/>
        <v>8.3333333333333343E-2</v>
      </c>
      <c r="AG2" s="5">
        <f t="shared" si="0"/>
        <v>8.666666666666667E-2</v>
      </c>
      <c r="AH2" s="5">
        <f t="shared" si="0"/>
        <v>9.0000000000000011E-2</v>
      </c>
      <c r="AI2" s="5">
        <f t="shared" si="0"/>
        <v>9.3333333333333338E-2</v>
      </c>
      <c r="AJ2" s="5">
        <f t="shared" si="0"/>
        <v>9.6666666666666679E-2</v>
      </c>
      <c r="AK2" s="5">
        <f t="shared" si="0"/>
        <v>0.1</v>
      </c>
      <c r="AL2" s="3"/>
      <c r="AM2" s="15"/>
    </row>
    <row r="3" spans="1:39">
      <c r="A3" s="21" t="s">
        <v>0</v>
      </c>
      <c r="B3" s="22">
        <v>0.1</v>
      </c>
      <c r="E3" s="4">
        <v>31</v>
      </c>
      <c r="F3" s="5">
        <f t="shared" ref="F3:F31" si="1">$B$6*(E3-1)</f>
        <v>0.1</v>
      </c>
      <c r="G3" s="2">
        <f>$B$16</f>
        <v>300</v>
      </c>
      <c r="H3" s="2">
        <v>289.33575194387373</v>
      </c>
      <c r="I3" s="2">
        <v>278.7155588986264</v>
      </c>
      <c r="J3" s="2">
        <v>268.18298196962735</v>
      </c>
      <c r="K3" s="2">
        <v>257.7806003544967</v>
      </c>
      <c r="L3" s="2">
        <v>247.54953506111849</v>
      </c>
      <c r="M3" s="2">
        <v>237.52898999220548</v>
      </c>
      <c r="N3" s="2">
        <v>227.75581579138796</v>
      </c>
      <c r="O3" s="2">
        <v>218.26410151926515</v>
      </c>
      <c r="P3" s="2">
        <v>209.08479883311566</v>
      </c>
      <c r="Q3" s="2">
        <v>200.24538288928034</v>
      </c>
      <c r="R3" s="2">
        <v>191.76955368195664</v>
      </c>
      <c r="S3" s="2">
        <v>183.67698098631104</v>
      </c>
      <c r="T3" s="2">
        <v>175.98309549794561</v>
      </c>
      <c r="U3" s="2">
        <v>168.69892816544035</v>
      </c>
      <c r="V3" s="2">
        <v>161.83099910835969</v>
      </c>
      <c r="W3" s="2">
        <v>155.38125690970494</v>
      </c>
      <c r="X3" s="2">
        <v>149.34706847853278</v>
      </c>
      <c r="Y3" s="2">
        <v>143.72125910361748</v>
      </c>
      <c r="Z3" s="2">
        <v>138.49220176979512</v>
      </c>
      <c r="AA3" s="2">
        <v>133.64395429092644</v>
      </c>
      <c r="AB3" s="2">
        <v>129.15644233194536</v>
      </c>
      <c r="AC3" s="2">
        <v>125.00568595060156</v>
      </c>
      <c r="AD3" s="2">
        <v>121.16406688942152</v>
      </c>
      <c r="AE3" s="2">
        <v>117.6006334911217</v>
      </c>
      <c r="AF3" s="2">
        <v>114.2814397962255</v>
      </c>
      <c r="AG3" s="2">
        <v>111.16991510914838</v>
      </c>
      <c r="AH3" s="2">
        <v>108.22726008707392</v>
      </c>
      <c r="AI3" s="2">
        <v>105.41286521265644</v>
      </c>
      <c r="AJ3" s="2">
        <v>102.68474735486495</v>
      </c>
      <c r="AK3" s="2">
        <f>$B$17</f>
        <v>100</v>
      </c>
      <c r="AL3" s="5">
        <f>$B$6*(AM3-1)</f>
        <v>0.1</v>
      </c>
      <c r="AM3" s="4">
        <v>31</v>
      </c>
    </row>
    <row r="4" spans="1:39">
      <c r="A4" s="21" t="s">
        <v>10</v>
      </c>
      <c r="B4" s="22">
        <v>0.1</v>
      </c>
      <c r="E4" s="4">
        <v>30</v>
      </c>
      <c r="F4" s="5">
        <f t="shared" si="1"/>
        <v>9.6666666666666679E-2</v>
      </c>
      <c r="G4" s="2">
        <f t="shared" ref="G4:G33" si="2">$B$16</f>
        <v>300</v>
      </c>
      <c r="H4" s="2">
        <v>289.33575194387373</v>
      </c>
      <c r="I4" s="2">
        <v>278.7155588986264</v>
      </c>
      <c r="J4" s="2">
        <v>268.18298196962735</v>
      </c>
      <c r="K4" s="2">
        <v>257.7806003544967</v>
      </c>
      <c r="L4" s="2">
        <v>247.54953506111849</v>
      </c>
      <c r="M4" s="2">
        <v>237.52898999220548</v>
      </c>
      <c r="N4" s="2">
        <v>227.75581579138799</v>
      </c>
      <c r="O4" s="2">
        <v>218.26410151926518</v>
      </c>
      <c r="P4" s="2">
        <v>209.08479883311566</v>
      </c>
      <c r="Q4" s="2">
        <v>200.24538288928034</v>
      </c>
      <c r="R4" s="2">
        <v>191.76955368195667</v>
      </c>
      <c r="S4" s="2">
        <v>183.67698098631104</v>
      </c>
      <c r="T4" s="2">
        <v>175.98309549794561</v>
      </c>
      <c r="U4" s="2">
        <v>168.69892816544035</v>
      </c>
      <c r="V4" s="2">
        <v>161.83099910835972</v>
      </c>
      <c r="W4" s="2">
        <v>155.38125690970494</v>
      </c>
      <c r="X4" s="2">
        <v>149.34706847853278</v>
      </c>
      <c r="Y4" s="2">
        <v>143.72125910361748</v>
      </c>
      <c r="Z4" s="2">
        <v>138.49220176979512</v>
      </c>
      <c r="AA4" s="2">
        <v>133.64395429092644</v>
      </c>
      <c r="AB4" s="2">
        <v>129.15644233194536</v>
      </c>
      <c r="AC4" s="2">
        <v>125.00568595060156</v>
      </c>
      <c r="AD4" s="2">
        <v>121.16406688942152</v>
      </c>
      <c r="AE4" s="2">
        <v>117.6006334911217</v>
      </c>
      <c r="AF4" s="2">
        <v>114.2814397962255</v>
      </c>
      <c r="AG4" s="2">
        <v>111.16991510914838</v>
      </c>
      <c r="AH4" s="2">
        <v>108.22726008707392</v>
      </c>
      <c r="AI4" s="2">
        <v>105.41286521265644</v>
      </c>
      <c r="AJ4" s="2">
        <v>102.68474735486495</v>
      </c>
      <c r="AK4" s="2">
        <f t="shared" ref="AK4:AK33" si="3">$B$17</f>
        <v>100</v>
      </c>
      <c r="AL4" s="5">
        <f t="shared" ref="AL4:AL33" si="4">$B$6*(AM4-1)</f>
        <v>9.6666666666666679E-2</v>
      </c>
      <c r="AM4" s="4">
        <v>30</v>
      </c>
    </row>
    <row r="5" spans="1:39">
      <c r="A5" s="21" t="s">
        <v>1</v>
      </c>
      <c r="B5" s="23">
        <f>B3/30</f>
        <v>3.3333333333333335E-3</v>
      </c>
      <c r="E5" s="4">
        <v>29</v>
      </c>
      <c r="F5" s="5">
        <f t="shared" si="1"/>
        <v>9.3333333333333338E-2</v>
      </c>
      <c r="G5" s="2">
        <f t="shared" si="2"/>
        <v>300</v>
      </c>
      <c r="H5" s="2">
        <v>289.33575194387373</v>
      </c>
      <c r="I5" s="2">
        <v>278.7155588986264</v>
      </c>
      <c r="J5" s="2">
        <v>268.18298196962735</v>
      </c>
      <c r="K5" s="2">
        <v>257.7806003544967</v>
      </c>
      <c r="L5" s="2">
        <v>247.54953506111849</v>
      </c>
      <c r="M5" s="2">
        <v>237.52898999220548</v>
      </c>
      <c r="N5" s="2">
        <v>227.75581579138799</v>
      </c>
      <c r="O5" s="2">
        <v>218.26410151926518</v>
      </c>
      <c r="P5" s="2">
        <v>209.08479883311566</v>
      </c>
      <c r="Q5" s="2">
        <v>200.24538288928034</v>
      </c>
      <c r="R5" s="2">
        <v>191.76955368195667</v>
      </c>
      <c r="S5" s="2">
        <v>183.67698098631104</v>
      </c>
      <c r="T5" s="2">
        <v>175.98309549794561</v>
      </c>
      <c r="U5" s="2">
        <v>168.69892816544035</v>
      </c>
      <c r="V5" s="2">
        <v>161.83099910835972</v>
      </c>
      <c r="W5" s="2">
        <v>155.38125690970494</v>
      </c>
      <c r="X5" s="2">
        <v>149.34706847853278</v>
      </c>
      <c r="Y5" s="2">
        <v>143.72125910361748</v>
      </c>
      <c r="Z5" s="2">
        <v>138.49220176979512</v>
      </c>
      <c r="AA5" s="2">
        <v>133.64395429092644</v>
      </c>
      <c r="AB5" s="2">
        <v>129.15644233194536</v>
      </c>
      <c r="AC5" s="2">
        <v>125.00568595060156</v>
      </c>
      <c r="AD5" s="2">
        <v>121.16406688942152</v>
      </c>
      <c r="AE5" s="2">
        <v>117.6006334911217</v>
      </c>
      <c r="AF5" s="2">
        <v>114.2814397962255</v>
      </c>
      <c r="AG5" s="2">
        <v>111.16991510914838</v>
      </c>
      <c r="AH5" s="2">
        <v>108.22726008707392</v>
      </c>
      <c r="AI5" s="2">
        <v>105.41286521265644</v>
      </c>
      <c r="AJ5" s="2">
        <v>102.68474735486495</v>
      </c>
      <c r="AK5" s="2">
        <f t="shared" si="3"/>
        <v>100</v>
      </c>
      <c r="AL5" s="5">
        <f t="shared" si="4"/>
        <v>9.3333333333333338E-2</v>
      </c>
      <c r="AM5" s="4">
        <v>29</v>
      </c>
    </row>
    <row r="6" spans="1:39">
      <c r="A6" s="21" t="s">
        <v>11</v>
      </c>
      <c r="B6" s="23">
        <f>B4/30</f>
        <v>3.3333333333333335E-3</v>
      </c>
      <c r="C6" s="24" t="s">
        <v>16</v>
      </c>
      <c r="E6" s="4">
        <v>28</v>
      </c>
      <c r="F6" s="5">
        <f t="shared" si="1"/>
        <v>9.0000000000000011E-2</v>
      </c>
      <c r="G6" s="2">
        <f t="shared" si="2"/>
        <v>300</v>
      </c>
      <c r="H6" s="2">
        <v>289.33575194387373</v>
      </c>
      <c r="I6" s="2">
        <v>278.7155588986264</v>
      </c>
      <c r="J6" s="2">
        <v>268.18298196962735</v>
      </c>
      <c r="K6" s="2">
        <v>257.7806003544967</v>
      </c>
      <c r="L6" s="2">
        <v>247.54953506111849</v>
      </c>
      <c r="M6" s="2">
        <v>237.52898999220548</v>
      </c>
      <c r="N6" s="2">
        <v>227.75581579138799</v>
      </c>
      <c r="O6" s="2">
        <v>218.26410151926518</v>
      </c>
      <c r="P6" s="2">
        <v>209.08479883311566</v>
      </c>
      <c r="Q6" s="2">
        <v>200.24538288928034</v>
      </c>
      <c r="R6" s="2">
        <v>191.76955368195667</v>
      </c>
      <c r="S6" s="2">
        <v>183.67698098631104</v>
      </c>
      <c r="T6" s="2">
        <v>175.98309549794561</v>
      </c>
      <c r="U6" s="2">
        <v>168.69892816544035</v>
      </c>
      <c r="V6" s="2">
        <v>161.83099910835972</v>
      </c>
      <c r="W6" s="2">
        <v>155.38125690970494</v>
      </c>
      <c r="X6" s="2">
        <v>149.34706847853278</v>
      </c>
      <c r="Y6" s="2">
        <v>143.72125910361748</v>
      </c>
      <c r="Z6" s="2">
        <v>138.49220176979512</v>
      </c>
      <c r="AA6" s="2">
        <v>133.64395429092644</v>
      </c>
      <c r="AB6" s="2">
        <v>129.15644233194536</v>
      </c>
      <c r="AC6" s="2">
        <v>125.00568595060156</v>
      </c>
      <c r="AD6" s="2">
        <v>121.16406688942152</v>
      </c>
      <c r="AE6" s="2">
        <v>117.6006334911217</v>
      </c>
      <c r="AF6" s="2">
        <v>114.2814397962255</v>
      </c>
      <c r="AG6" s="2">
        <v>111.16991510914838</v>
      </c>
      <c r="AH6" s="2">
        <v>108.22726008707392</v>
      </c>
      <c r="AI6" s="2">
        <v>105.41286521265644</v>
      </c>
      <c r="AJ6" s="2">
        <v>102.68474735486495</v>
      </c>
      <c r="AK6" s="2">
        <f t="shared" si="3"/>
        <v>100</v>
      </c>
      <c r="AL6" s="5">
        <f t="shared" si="4"/>
        <v>9.0000000000000011E-2</v>
      </c>
      <c r="AM6" s="4">
        <v>28</v>
      </c>
    </row>
    <row r="7" spans="1:39">
      <c r="A7" s="21" t="s">
        <v>3</v>
      </c>
      <c r="B7" s="22">
        <v>150</v>
      </c>
      <c r="C7">
        <v>151</v>
      </c>
      <c r="E7" s="4">
        <v>27</v>
      </c>
      <c r="F7" s="5">
        <f t="shared" si="1"/>
        <v>8.666666666666667E-2</v>
      </c>
      <c r="G7" s="2">
        <f t="shared" si="2"/>
        <v>300</v>
      </c>
      <c r="H7" s="2">
        <v>289.33575194387373</v>
      </c>
      <c r="I7" s="2">
        <v>278.7155588986264</v>
      </c>
      <c r="J7" s="2">
        <v>268.18298196962735</v>
      </c>
      <c r="K7" s="2">
        <v>257.7806003544967</v>
      </c>
      <c r="L7" s="2">
        <v>247.54953506111849</v>
      </c>
      <c r="M7" s="2">
        <v>237.52898999220548</v>
      </c>
      <c r="N7" s="2">
        <v>227.75581579138799</v>
      </c>
      <c r="O7" s="2">
        <v>218.26410151926518</v>
      </c>
      <c r="P7" s="2">
        <v>209.08479883311566</v>
      </c>
      <c r="Q7" s="2">
        <v>200.24538288928034</v>
      </c>
      <c r="R7" s="2">
        <v>191.76955368195667</v>
      </c>
      <c r="S7" s="2">
        <v>183.67698098631104</v>
      </c>
      <c r="T7" s="2">
        <v>175.98309549794561</v>
      </c>
      <c r="U7" s="2">
        <v>168.69892816544035</v>
      </c>
      <c r="V7" s="2">
        <v>161.83099910835972</v>
      </c>
      <c r="W7" s="2">
        <v>155.38125690970494</v>
      </c>
      <c r="X7" s="2">
        <v>149.34706847853278</v>
      </c>
      <c r="Y7" s="2">
        <v>143.72125910361748</v>
      </c>
      <c r="Z7" s="2">
        <v>138.49220176979512</v>
      </c>
      <c r="AA7" s="2">
        <v>133.64395429092644</v>
      </c>
      <c r="AB7" s="2">
        <v>129.15644233194536</v>
      </c>
      <c r="AC7" s="2">
        <v>125.00568595060156</v>
      </c>
      <c r="AD7" s="2">
        <v>121.16406688942152</v>
      </c>
      <c r="AE7" s="2">
        <v>117.6006334911217</v>
      </c>
      <c r="AF7" s="2">
        <v>114.2814397962255</v>
      </c>
      <c r="AG7" s="2">
        <v>111.16991510914838</v>
      </c>
      <c r="AH7" s="2">
        <v>108.22726008707392</v>
      </c>
      <c r="AI7" s="2">
        <v>105.41286521265644</v>
      </c>
      <c r="AJ7" s="2">
        <v>102.68474735486495</v>
      </c>
      <c r="AK7" s="2">
        <f t="shared" si="3"/>
        <v>100</v>
      </c>
      <c r="AL7" s="5">
        <f t="shared" si="4"/>
        <v>8.666666666666667E-2</v>
      </c>
      <c r="AM7" s="4">
        <v>27</v>
      </c>
    </row>
    <row r="8" spans="1:39">
      <c r="A8" s="21" t="s">
        <v>2</v>
      </c>
      <c r="B8" s="22">
        <v>1</v>
      </c>
      <c r="E8" s="4">
        <v>26</v>
      </c>
      <c r="F8" s="5">
        <f t="shared" si="1"/>
        <v>8.3333333333333343E-2</v>
      </c>
      <c r="G8" s="2">
        <f t="shared" si="2"/>
        <v>300</v>
      </c>
      <c r="H8" s="2">
        <v>289.33575194387373</v>
      </c>
      <c r="I8" s="2">
        <v>278.7155588986264</v>
      </c>
      <c r="J8" s="2">
        <v>268.18298196962735</v>
      </c>
      <c r="K8" s="2">
        <v>257.7806003544967</v>
      </c>
      <c r="L8" s="2">
        <v>247.54953506111849</v>
      </c>
      <c r="M8" s="2">
        <v>237.52898999220548</v>
      </c>
      <c r="N8" s="2">
        <v>227.75581579138799</v>
      </c>
      <c r="O8" s="2">
        <v>218.26410151926518</v>
      </c>
      <c r="P8" s="2">
        <v>209.08479883311566</v>
      </c>
      <c r="Q8" s="2">
        <v>200.24538288928034</v>
      </c>
      <c r="R8" s="2">
        <v>191.76955368195667</v>
      </c>
      <c r="S8" s="2">
        <v>183.67698098631104</v>
      </c>
      <c r="T8" s="2">
        <v>175.98309549794561</v>
      </c>
      <c r="U8" s="2">
        <v>168.69892816544035</v>
      </c>
      <c r="V8" s="2">
        <v>161.83099910835972</v>
      </c>
      <c r="W8" s="2">
        <v>155.38125690970494</v>
      </c>
      <c r="X8" s="2">
        <v>149.34706847853278</v>
      </c>
      <c r="Y8" s="2">
        <v>143.72125910361748</v>
      </c>
      <c r="Z8" s="2">
        <v>138.49220176979512</v>
      </c>
      <c r="AA8" s="2">
        <v>133.64395429092644</v>
      </c>
      <c r="AB8" s="2">
        <v>129.15644233194536</v>
      </c>
      <c r="AC8" s="2">
        <v>125.00568595060156</v>
      </c>
      <c r="AD8" s="2">
        <v>121.16406688942152</v>
      </c>
      <c r="AE8" s="2">
        <v>117.6006334911217</v>
      </c>
      <c r="AF8" s="2">
        <v>114.2814397962255</v>
      </c>
      <c r="AG8" s="2">
        <v>111.16991510914838</v>
      </c>
      <c r="AH8" s="2">
        <v>108.22726008707392</v>
      </c>
      <c r="AI8" s="2">
        <v>105.41286521265644</v>
      </c>
      <c r="AJ8" s="2">
        <v>102.68474735486495</v>
      </c>
      <c r="AK8" s="2">
        <f t="shared" si="3"/>
        <v>100</v>
      </c>
      <c r="AL8" s="5">
        <f t="shared" si="4"/>
        <v>8.3333333333333343E-2</v>
      </c>
      <c r="AM8" s="4">
        <v>26</v>
      </c>
    </row>
    <row r="9" spans="1:39">
      <c r="E9" s="4">
        <v>25</v>
      </c>
      <c r="F9" s="5">
        <f t="shared" si="1"/>
        <v>0.08</v>
      </c>
      <c r="G9" s="2">
        <f t="shared" si="2"/>
        <v>300</v>
      </c>
      <c r="H9" s="2">
        <v>289.33575194387373</v>
      </c>
      <c r="I9" s="2">
        <v>278.7155588986264</v>
      </c>
      <c r="J9" s="2">
        <v>268.18298196962735</v>
      </c>
      <c r="K9" s="2">
        <v>257.7806003544967</v>
      </c>
      <c r="L9" s="2">
        <v>247.54953506111849</v>
      </c>
      <c r="M9" s="2">
        <v>237.52898999220548</v>
      </c>
      <c r="N9" s="2">
        <v>227.75581579138799</v>
      </c>
      <c r="O9" s="2">
        <v>218.26410151926518</v>
      </c>
      <c r="P9" s="2">
        <v>209.08479883311566</v>
      </c>
      <c r="Q9" s="2">
        <v>200.24538288928034</v>
      </c>
      <c r="R9" s="2">
        <v>191.76955368195667</v>
      </c>
      <c r="S9" s="2">
        <v>183.67698098631104</v>
      </c>
      <c r="T9" s="2">
        <v>175.98309549794561</v>
      </c>
      <c r="U9" s="2">
        <v>168.69892816544035</v>
      </c>
      <c r="V9" s="2">
        <v>161.83099910835972</v>
      </c>
      <c r="W9" s="2">
        <v>155.38125690970494</v>
      </c>
      <c r="X9" s="2">
        <v>149.34706847853278</v>
      </c>
      <c r="Y9" s="2">
        <v>143.72125910361748</v>
      </c>
      <c r="Z9" s="2">
        <v>138.49220176979512</v>
      </c>
      <c r="AA9" s="2">
        <v>133.64395429092644</v>
      </c>
      <c r="AB9" s="2">
        <v>129.15644233194536</v>
      </c>
      <c r="AC9" s="2">
        <v>125.00568595060156</v>
      </c>
      <c r="AD9" s="2">
        <v>121.16406688942152</v>
      </c>
      <c r="AE9" s="2">
        <v>117.6006334911217</v>
      </c>
      <c r="AF9" s="2">
        <v>114.2814397962255</v>
      </c>
      <c r="AG9" s="2">
        <v>111.16991510914838</v>
      </c>
      <c r="AH9" s="2">
        <v>108.22726008707392</v>
      </c>
      <c r="AI9" s="2">
        <v>105.41286521265644</v>
      </c>
      <c r="AJ9" s="2">
        <v>102.68474735486495</v>
      </c>
      <c r="AK9" s="2">
        <f t="shared" si="3"/>
        <v>100</v>
      </c>
      <c r="AL9" s="5">
        <f t="shared" si="4"/>
        <v>0.08</v>
      </c>
      <c r="AM9" s="4">
        <v>25</v>
      </c>
    </row>
    <row r="10" spans="1:39">
      <c r="A10" s="25" t="s">
        <v>12</v>
      </c>
      <c r="B10" s="25"/>
      <c r="E10" s="4">
        <v>24</v>
      </c>
      <c r="F10" s="5">
        <f t="shared" si="1"/>
        <v>7.6666666666666675E-2</v>
      </c>
      <c r="G10" s="2">
        <f t="shared" si="2"/>
        <v>300</v>
      </c>
      <c r="H10" s="2">
        <v>289.33575194387373</v>
      </c>
      <c r="I10" s="2">
        <v>278.7155588986264</v>
      </c>
      <c r="J10" s="2">
        <v>268.18298196962735</v>
      </c>
      <c r="K10" s="2">
        <v>257.7806003544967</v>
      </c>
      <c r="L10" s="2">
        <v>247.54953506111849</v>
      </c>
      <c r="M10" s="2">
        <v>237.52898999220548</v>
      </c>
      <c r="N10" s="2">
        <v>227.75581579138796</v>
      </c>
      <c r="O10" s="2">
        <v>218.26410151926518</v>
      </c>
      <c r="P10" s="2">
        <v>209.08479883311566</v>
      </c>
      <c r="Q10" s="2">
        <v>200.24538288928034</v>
      </c>
      <c r="R10" s="2">
        <v>191.76955368195667</v>
      </c>
      <c r="S10" s="2">
        <v>183.67698098631104</v>
      </c>
      <c r="T10" s="2">
        <v>175.98309549794561</v>
      </c>
      <c r="U10" s="2">
        <v>168.69892816544035</v>
      </c>
      <c r="V10" s="2">
        <v>161.83099910835972</v>
      </c>
      <c r="W10" s="2">
        <v>155.38125690970494</v>
      </c>
      <c r="X10" s="2">
        <v>149.34706847853278</v>
      </c>
      <c r="Y10" s="2">
        <v>143.72125910361746</v>
      </c>
      <c r="Z10" s="2">
        <v>138.49220176979512</v>
      </c>
      <c r="AA10" s="2">
        <v>133.64395429092644</v>
      </c>
      <c r="AB10" s="2">
        <v>129.15644233194536</v>
      </c>
      <c r="AC10" s="2">
        <v>125.00568595060156</v>
      </c>
      <c r="AD10" s="2">
        <v>121.16406688942152</v>
      </c>
      <c r="AE10" s="2">
        <v>117.6006334911217</v>
      </c>
      <c r="AF10" s="2">
        <v>114.2814397962255</v>
      </c>
      <c r="AG10" s="2">
        <v>111.16991510914838</v>
      </c>
      <c r="AH10" s="2">
        <v>108.22726008707392</v>
      </c>
      <c r="AI10" s="2">
        <v>105.41286521265644</v>
      </c>
      <c r="AJ10" s="2">
        <v>102.68474735486495</v>
      </c>
      <c r="AK10" s="2">
        <f t="shared" si="3"/>
        <v>100</v>
      </c>
      <c r="AL10" s="5">
        <f t="shared" si="4"/>
        <v>7.6666666666666675E-2</v>
      </c>
      <c r="AM10" s="4">
        <v>24</v>
      </c>
    </row>
    <row r="11" spans="1:39">
      <c r="A11" s="26" t="s">
        <v>4</v>
      </c>
      <c r="B11" s="27">
        <v>460</v>
      </c>
      <c r="E11" s="4">
        <v>23</v>
      </c>
      <c r="F11" s="5">
        <f t="shared" si="1"/>
        <v>7.3333333333333334E-2</v>
      </c>
      <c r="G11" s="2">
        <f t="shared" si="2"/>
        <v>300</v>
      </c>
      <c r="H11" s="2">
        <v>289.33575194387373</v>
      </c>
      <c r="I11" s="2">
        <v>278.7155588986264</v>
      </c>
      <c r="J11" s="2">
        <v>268.18298196962735</v>
      </c>
      <c r="K11" s="2">
        <v>257.7806003544967</v>
      </c>
      <c r="L11" s="2">
        <v>247.54953506111843</v>
      </c>
      <c r="M11" s="2">
        <v>237.52898999220542</v>
      </c>
      <c r="N11" s="2">
        <v>227.75581579138793</v>
      </c>
      <c r="O11" s="2">
        <v>218.26410151926515</v>
      </c>
      <c r="P11" s="2">
        <v>209.08479883311563</v>
      </c>
      <c r="Q11" s="2">
        <v>200.24538288928034</v>
      </c>
      <c r="R11" s="2">
        <v>191.76955368195664</v>
      </c>
      <c r="S11" s="2">
        <v>183.67698098631104</v>
      </c>
      <c r="T11" s="2">
        <v>175.98309549794561</v>
      </c>
      <c r="U11" s="2">
        <v>168.69892816544035</v>
      </c>
      <c r="V11" s="2">
        <v>161.83099910835966</v>
      </c>
      <c r="W11" s="2">
        <v>155.38125690970494</v>
      </c>
      <c r="X11" s="2">
        <v>149.34706847853278</v>
      </c>
      <c r="Y11" s="2">
        <v>143.72125910361743</v>
      </c>
      <c r="Z11" s="2">
        <v>138.49220176979509</v>
      </c>
      <c r="AA11" s="2">
        <v>133.64395429092644</v>
      </c>
      <c r="AB11" s="2">
        <v>129.15644233194536</v>
      </c>
      <c r="AC11" s="2">
        <v>125.00568595060156</v>
      </c>
      <c r="AD11" s="2">
        <v>121.16406688942152</v>
      </c>
      <c r="AE11" s="2">
        <v>117.6006334911217</v>
      </c>
      <c r="AF11" s="2">
        <v>114.28143979622547</v>
      </c>
      <c r="AG11" s="2">
        <v>111.16991510914836</v>
      </c>
      <c r="AH11" s="2">
        <v>108.2272600870739</v>
      </c>
      <c r="AI11" s="2">
        <v>105.41286521265644</v>
      </c>
      <c r="AJ11" s="2">
        <v>102.68474735486495</v>
      </c>
      <c r="AK11" s="2">
        <f t="shared" si="3"/>
        <v>100</v>
      </c>
      <c r="AL11" s="5">
        <f t="shared" si="4"/>
        <v>7.3333333333333334E-2</v>
      </c>
      <c r="AM11" s="4">
        <v>23</v>
      </c>
    </row>
    <row r="12" spans="1:39">
      <c r="A12" s="26" t="s">
        <v>5</v>
      </c>
      <c r="B12" s="27">
        <v>7800</v>
      </c>
      <c r="E12" s="4">
        <v>22</v>
      </c>
      <c r="F12" s="5">
        <f t="shared" si="1"/>
        <v>7.0000000000000007E-2</v>
      </c>
      <c r="G12" s="2">
        <f t="shared" si="2"/>
        <v>300</v>
      </c>
      <c r="H12" s="2">
        <v>289.33575194387367</v>
      </c>
      <c r="I12" s="2">
        <v>278.7155588986264</v>
      </c>
      <c r="J12" s="2">
        <v>268.18298196962735</v>
      </c>
      <c r="K12" s="2">
        <v>257.78060035449664</v>
      </c>
      <c r="L12" s="2">
        <v>247.54953506111838</v>
      </c>
      <c r="M12" s="2">
        <v>237.52898999220537</v>
      </c>
      <c r="N12" s="2">
        <v>227.75581579138782</v>
      </c>
      <c r="O12" s="2">
        <v>218.26410151926507</v>
      </c>
      <c r="P12" s="2">
        <v>209.0847988331156</v>
      </c>
      <c r="Q12" s="2">
        <v>200.24538288928028</v>
      </c>
      <c r="R12" s="2">
        <v>191.76955368195661</v>
      </c>
      <c r="S12" s="2">
        <v>183.67698098631098</v>
      </c>
      <c r="T12" s="2">
        <v>175.98309549794556</v>
      </c>
      <c r="U12" s="2">
        <v>168.69892816544032</v>
      </c>
      <c r="V12" s="2">
        <v>161.83099910835961</v>
      </c>
      <c r="W12" s="2">
        <v>155.38125690970494</v>
      </c>
      <c r="X12" s="2">
        <v>149.34706847853275</v>
      </c>
      <c r="Y12" s="2">
        <v>143.7212591036174</v>
      </c>
      <c r="Z12" s="2">
        <v>138.49220176979506</v>
      </c>
      <c r="AA12" s="2">
        <v>133.64395429092639</v>
      </c>
      <c r="AB12" s="2">
        <v>129.15644233194533</v>
      </c>
      <c r="AC12" s="2">
        <v>125.00568595060153</v>
      </c>
      <c r="AD12" s="2">
        <v>121.16406688942149</v>
      </c>
      <c r="AE12" s="2">
        <v>117.6006334911217</v>
      </c>
      <c r="AF12" s="2">
        <v>114.28143979622544</v>
      </c>
      <c r="AG12" s="2">
        <v>111.16991510914833</v>
      </c>
      <c r="AH12" s="2">
        <v>108.22726008707389</v>
      </c>
      <c r="AI12" s="2">
        <v>105.41286521265641</v>
      </c>
      <c r="AJ12" s="2">
        <v>102.68474735486492</v>
      </c>
      <c r="AK12" s="2">
        <f t="shared" si="3"/>
        <v>100</v>
      </c>
      <c r="AL12" s="5">
        <f t="shared" si="4"/>
        <v>7.0000000000000007E-2</v>
      </c>
      <c r="AM12" s="4">
        <v>22</v>
      </c>
    </row>
    <row r="13" spans="1:39">
      <c r="A13" s="26" t="s">
        <v>17</v>
      </c>
      <c r="B13" s="27">
        <v>46</v>
      </c>
      <c r="E13" s="4">
        <v>21</v>
      </c>
      <c r="F13" s="5">
        <f t="shared" si="1"/>
        <v>6.6666666666666666E-2</v>
      </c>
      <c r="G13" s="2">
        <f t="shared" si="2"/>
        <v>300</v>
      </c>
      <c r="H13" s="2">
        <v>289.33575194387367</v>
      </c>
      <c r="I13" s="2">
        <v>278.7155588986264</v>
      </c>
      <c r="J13" s="2">
        <v>268.18298196962735</v>
      </c>
      <c r="K13" s="2">
        <v>257.78060035449664</v>
      </c>
      <c r="L13" s="2">
        <v>247.54953506111835</v>
      </c>
      <c r="M13" s="2">
        <v>237.52898999220531</v>
      </c>
      <c r="N13" s="2">
        <v>227.75581579138773</v>
      </c>
      <c r="O13" s="2">
        <v>218.26410151926501</v>
      </c>
      <c r="P13" s="2">
        <v>209.08479883311554</v>
      </c>
      <c r="Q13" s="2">
        <v>200.24538288928022</v>
      </c>
      <c r="R13" s="2">
        <v>191.76955368195655</v>
      </c>
      <c r="S13" s="2">
        <v>183.67698098631092</v>
      </c>
      <c r="T13" s="2">
        <v>175.9830954979455</v>
      </c>
      <c r="U13" s="2">
        <v>168.69892816544029</v>
      </c>
      <c r="V13" s="2">
        <v>161.83099910835958</v>
      </c>
      <c r="W13" s="2">
        <v>155.38125690970494</v>
      </c>
      <c r="X13" s="2">
        <v>149.34706847853272</v>
      </c>
      <c r="Y13" s="2">
        <v>143.72125910361737</v>
      </c>
      <c r="Z13" s="2">
        <v>138.49220176979503</v>
      </c>
      <c r="AA13" s="2">
        <v>133.64395429092636</v>
      </c>
      <c r="AB13" s="2">
        <v>129.1564423319453</v>
      </c>
      <c r="AC13" s="2">
        <v>125.00568595060149</v>
      </c>
      <c r="AD13" s="2">
        <v>121.16406688942146</v>
      </c>
      <c r="AE13" s="2">
        <v>117.60063349112166</v>
      </c>
      <c r="AF13" s="2">
        <v>114.28143979622538</v>
      </c>
      <c r="AG13" s="2">
        <v>111.16991510914831</v>
      </c>
      <c r="AH13" s="2">
        <v>108.22726008707386</v>
      </c>
      <c r="AI13" s="2">
        <v>105.41286521265638</v>
      </c>
      <c r="AJ13" s="2">
        <v>102.68474735486491</v>
      </c>
      <c r="AK13" s="2">
        <f t="shared" si="3"/>
        <v>100</v>
      </c>
      <c r="AL13" s="5">
        <f t="shared" si="4"/>
        <v>6.6666666666666666E-2</v>
      </c>
      <c r="AM13" s="4">
        <v>21</v>
      </c>
    </row>
    <row r="14" spans="1:39">
      <c r="A14" s="1"/>
      <c r="B14" s="1"/>
      <c r="E14" s="4">
        <v>20</v>
      </c>
      <c r="F14" s="5">
        <f t="shared" si="1"/>
        <v>6.3333333333333339E-2</v>
      </c>
      <c r="G14" s="2">
        <f t="shared" si="2"/>
        <v>300</v>
      </c>
      <c r="H14" s="2">
        <v>289.33575194387367</v>
      </c>
      <c r="I14" s="2">
        <v>278.71555889862645</v>
      </c>
      <c r="J14" s="2">
        <v>268.18298196962735</v>
      </c>
      <c r="K14" s="2">
        <v>257.78060035449664</v>
      </c>
      <c r="L14" s="2">
        <v>247.54953506111835</v>
      </c>
      <c r="M14" s="2">
        <v>237.52898999220537</v>
      </c>
      <c r="N14" s="2">
        <v>227.7558157913877</v>
      </c>
      <c r="O14" s="2">
        <v>218.26410151926501</v>
      </c>
      <c r="P14" s="2">
        <v>209.08479883311554</v>
      </c>
      <c r="Q14" s="2">
        <v>200.24538288928022</v>
      </c>
      <c r="R14" s="2">
        <v>191.76955368195655</v>
      </c>
      <c r="S14" s="2">
        <v>183.67698098631092</v>
      </c>
      <c r="T14" s="2">
        <v>175.9830954979455</v>
      </c>
      <c r="U14" s="2">
        <v>168.69892816544029</v>
      </c>
      <c r="V14" s="2">
        <v>161.83099910835955</v>
      </c>
      <c r="W14" s="2">
        <v>155.38125690970492</v>
      </c>
      <c r="X14" s="2">
        <v>149.34706847853272</v>
      </c>
      <c r="Y14" s="2">
        <v>143.72125910361734</v>
      </c>
      <c r="Z14" s="2">
        <v>138.49220176979497</v>
      </c>
      <c r="AA14" s="2">
        <v>133.64395429092633</v>
      </c>
      <c r="AB14" s="2">
        <v>129.15644233194527</v>
      </c>
      <c r="AC14" s="2">
        <v>125.00568595060147</v>
      </c>
      <c r="AD14" s="2">
        <v>121.16406688942146</v>
      </c>
      <c r="AE14" s="2">
        <v>117.60063349112164</v>
      </c>
      <c r="AF14" s="2">
        <v>114.28143979622538</v>
      </c>
      <c r="AG14" s="2">
        <v>111.16991510914831</v>
      </c>
      <c r="AH14" s="2">
        <v>108.22726008707386</v>
      </c>
      <c r="AI14" s="2">
        <v>105.41286521265638</v>
      </c>
      <c r="AJ14" s="2">
        <v>102.68474735486492</v>
      </c>
      <c r="AK14" s="2">
        <f t="shared" si="3"/>
        <v>100</v>
      </c>
      <c r="AL14" s="5">
        <f t="shared" si="4"/>
        <v>6.3333333333333339E-2</v>
      </c>
      <c r="AM14" s="4">
        <v>20</v>
      </c>
    </row>
    <row r="15" spans="1:39">
      <c r="A15" s="28" t="s">
        <v>13</v>
      </c>
      <c r="B15" s="28"/>
      <c r="E15" s="4">
        <v>19</v>
      </c>
      <c r="F15" s="5">
        <f t="shared" si="1"/>
        <v>6.0000000000000005E-2</v>
      </c>
      <c r="G15" s="2">
        <f t="shared" si="2"/>
        <v>300</v>
      </c>
      <c r="H15" s="2">
        <v>289.33575194387367</v>
      </c>
      <c r="I15" s="2">
        <v>278.71555889862645</v>
      </c>
      <c r="J15" s="2">
        <v>268.18298196962735</v>
      </c>
      <c r="K15" s="2">
        <v>257.78060035449664</v>
      </c>
      <c r="L15" s="2">
        <v>247.54953506111838</v>
      </c>
      <c r="M15" s="2">
        <v>237.5289899922054</v>
      </c>
      <c r="N15" s="2">
        <v>227.75581579138776</v>
      </c>
      <c r="O15" s="2">
        <v>218.26410151926507</v>
      </c>
      <c r="P15" s="2">
        <v>209.0847988331156</v>
      </c>
      <c r="Q15" s="2">
        <v>200.24538288928022</v>
      </c>
      <c r="R15" s="2">
        <v>191.76955368195655</v>
      </c>
      <c r="S15" s="2">
        <v>183.67698098631092</v>
      </c>
      <c r="T15" s="2">
        <v>175.9830954979455</v>
      </c>
      <c r="U15" s="2">
        <v>168.69892816544026</v>
      </c>
      <c r="V15" s="2">
        <v>161.83099910835955</v>
      </c>
      <c r="W15" s="2">
        <v>155.38125690970492</v>
      </c>
      <c r="X15" s="2">
        <v>149.34706847853272</v>
      </c>
      <c r="Y15" s="2">
        <v>143.72125910361734</v>
      </c>
      <c r="Z15" s="2">
        <v>138.492201769795</v>
      </c>
      <c r="AA15" s="2">
        <v>133.64395429092633</v>
      </c>
      <c r="AB15" s="2">
        <v>129.1564423319453</v>
      </c>
      <c r="AC15" s="2">
        <v>125.00568595060149</v>
      </c>
      <c r="AD15" s="2">
        <v>121.16406688942146</v>
      </c>
      <c r="AE15" s="2">
        <v>117.60063349112164</v>
      </c>
      <c r="AF15" s="2">
        <v>114.28143979622541</v>
      </c>
      <c r="AG15" s="2">
        <v>111.16991510914832</v>
      </c>
      <c r="AH15" s="2">
        <v>108.22726008707386</v>
      </c>
      <c r="AI15" s="2">
        <v>105.4128652126564</v>
      </c>
      <c r="AJ15" s="2">
        <v>102.68474735486492</v>
      </c>
      <c r="AK15" s="2">
        <f t="shared" si="3"/>
        <v>100</v>
      </c>
      <c r="AL15" s="5">
        <f t="shared" si="4"/>
        <v>6.0000000000000005E-2</v>
      </c>
      <c r="AM15" s="4">
        <v>19</v>
      </c>
    </row>
    <row r="16" spans="1:39">
      <c r="A16" s="29" t="s">
        <v>18</v>
      </c>
      <c r="B16" s="30">
        <v>300</v>
      </c>
      <c r="E16" s="4">
        <v>18</v>
      </c>
      <c r="F16" s="5">
        <f t="shared" si="1"/>
        <v>5.6666666666666671E-2</v>
      </c>
      <c r="G16" s="2">
        <f t="shared" si="2"/>
        <v>300</v>
      </c>
      <c r="H16" s="2">
        <v>289.33575194387373</v>
      </c>
      <c r="I16" s="2">
        <v>278.71555889862651</v>
      </c>
      <c r="J16" s="2">
        <v>268.18298196962735</v>
      </c>
      <c r="K16" s="2">
        <v>257.7806003544967</v>
      </c>
      <c r="L16" s="2">
        <v>247.54953506111843</v>
      </c>
      <c r="M16" s="2">
        <v>237.52898999220542</v>
      </c>
      <c r="N16" s="2">
        <v>227.75581579138782</v>
      </c>
      <c r="O16" s="2">
        <v>218.26410151926513</v>
      </c>
      <c r="P16" s="2">
        <v>209.0847988331156</v>
      </c>
      <c r="Q16" s="2">
        <v>200.24538288928028</v>
      </c>
      <c r="R16" s="2">
        <v>191.76955368195658</v>
      </c>
      <c r="S16" s="2">
        <v>183.67698098631092</v>
      </c>
      <c r="T16" s="2">
        <v>175.98309549794553</v>
      </c>
      <c r="U16" s="2">
        <v>168.69892816544026</v>
      </c>
      <c r="V16" s="2">
        <v>161.83099910835958</v>
      </c>
      <c r="W16" s="2">
        <v>155.38125690970494</v>
      </c>
      <c r="X16" s="2">
        <v>149.34706847853275</v>
      </c>
      <c r="Y16" s="2">
        <v>143.72125910361737</v>
      </c>
      <c r="Z16" s="2">
        <v>138.49220176979503</v>
      </c>
      <c r="AA16" s="2">
        <v>133.64395429092639</v>
      </c>
      <c r="AB16" s="2">
        <v>129.15644233194533</v>
      </c>
      <c r="AC16" s="2">
        <v>125.0056859506015</v>
      </c>
      <c r="AD16" s="2">
        <v>121.16406688942149</v>
      </c>
      <c r="AE16" s="2">
        <v>117.60063349112167</v>
      </c>
      <c r="AF16" s="2">
        <v>114.28143979622544</v>
      </c>
      <c r="AG16" s="2">
        <v>111.16991510914833</v>
      </c>
      <c r="AH16" s="2">
        <v>108.22726008707389</v>
      </c>
      <c r="AI16" s="2">
        <v>105.41286521265643</v>
      </c>
      <c r="AJ16" s="2">
        <v>102.68474735486492</v>
      </c>
      <c r="AK16" s="2">
        <f t="shared" si="3"/>
        <v>100</v>
      </c>
      <c r="AL16" s="5">
        <f t="shared" si="4"/>
        <v>5.6666666666666671E-2</v>
      </c>
      <c r="AM16" s="4">
        <v>18</v>
      </c>
    </row>
    <row r="17" spans="1:39">
      <c r="A17" s="29" t="s">
        <v>19</v>
      </c>
      <c r="B17" s="30">
        <v>100</v>
      </c>
      <c r="E17" s="4">
        <v>17</v>
      </c>
      <c r="F17" s="5">
        <f t="shared" si="1"/>
        <v>5.3333333333333337E-2</v>
      </c>
      <c r="G17" s="2">
        <f t="shared" si="2"/>
        <v>300</v>
      </c>
      <c r="H17" s="2">
        <v>289.33575194387373</v>
      </c>
      <c r="I17" s="2">
        <v>278.71555889862645</v>
      </c>
      <c r="J17" s="2">
        <v>268.18298196962741</v>
      </c>
      <c r="K17" s="2">
        <v>257.7806003544967</v>
      </c>
      <c r="L17" s="2">
        <v>247.54953506111843</v>
      </c>
      <c r="M17" s="2">
        <v>237.52898999220542</v>
      </c>
      <c r="N17" s="2">
        <v>227.75581579138782</v>
      </c>
      <c r="O17" s="2">
        <v>218.26410151926518</v>
      </c>
      <c r="P17" s="2">
        <v>209.0847988331156</v>
      </c>
      <c r="Q17" s="2">
        <v>200.24538288928028</v>
      </c>
      <c r="R17" s="2">
        <v>191.76955368195661</v>
      </c>
      <c r="S17" s="2">
        <v>183.67698098631092</v>
      </c>
      <c r="T17" s="2">
        <v>175.98309549794556</v>
      </c>
      <c r="U17" s="2">
        <v>168.69892816544029</v>
      </c>
      <c r="V17" s="2">
        <v>161.83099910835958</v>
      </c>
      <c r="W17" s="2">
        <v>155.38125690970497</v>
      </c>
      <c r="X17" s="2">
        <v>149.34706847853278</v>
      </c>
      <c r="Y17" s="2">
        <v>143.7212591036174</v>
      </c>
      <c r="Z17" s="2">
        <v>138.49220176979506</v>
      </c>
      <c r="AA17" s="2">
        <v>133.64395429092639</v>
      </c>
      <c r="AB17" s="2">
        <v>129.15644233194536</v>
      </c>
      <c r="AC17" s="2">
        <v>125.00568595060153</v>
      </c>
      <c r="AD17" s="2">
        <v>121.16406688942151</v>
      </c>
      <c r="AE17" s="2">
        <v>117.60063349112168</v>
      </c>
      <c r="AF17" s="2">
        <v>114.28143979622544</v>
      </c>
      <c r="AG17" s="2">
        <v>111.16991510914833</v>
      </c>
      <c r="AH17" s="2">
        <v>108.22726008707389</v>
      </c>
      <c r="AI17" s="2">
        <v>105.41286521265643</v>
      </c>
      <c r="AJ17" s="2">
        <v>102.68474735486492</v>
      </c>
      <c r="AK17" s="2">
        <f t="shared" si="3"/>
        <v>100</v>
      </c>
      <c r="AL17" s="5">
        <f t="shared" si="4"/>
        <v>5.3333333333333337E-2</v>
      </c>
      <c r="AM17" s="4">
        <v>17</v>
      </c>
    </row>
    <row r="18" spans="1:39">
      <c r="A18" s="1"/>
      <c r="B18" s="1"/>
      <c r="E18" s="4">
        <v>16</v>
      </c>
      <c r="F18" s="5">
        <f t="shared" si="1"/>
        <v>0.05</v>
      </c>
      <c r="G18" s="2">
        <f t="shared" si="2"/>
        <v>300</v>
      </c>
      <c r="H18" s="2">
        <v>289.33575194387373</v>
      </c>
      <c r="I18" s="2">
        <v>278.71555889862645</v>
      </c>
      <c r="J18" s="2">
        <v>268.18298196962741</v>
      </c>
      <c r="K18" s="2">
        <v>257.7806003544967</v>
      </c>
      <c r="L18" s="2">
        <v>247.54953506111843</v>
      </c>
      <c r="M18" s="2">
        <v>237.52898999220542</v>
      </c>
      <c r="N18" s="2">
        <v>227.75581579138782</v>
      </c>
      <c r="O18" s="2">
        <v>218.26410151926518</v>
      </c>
      <c r="P18" s="2">
        <v>209.0847988331156</v>
      </c>
      <c r="Q18" s="2">
        <v>200.24538288928031</v>
      </c>
      <c r="R18" s="2">
        <v>191.76955368195661</v>
      </c>
      <c r="S18" s="2">
        <v>183.67698098631092</v>
      </c>
      <c r="T18" s="2">
        <v>175.98309549794556</v>
      </c>
      <c r="U18" s="2">
        <v>168.69892816544029</v>
      </c>
      <c r="V18" s="2">
        <v>161.83099910835961</v>
      </c>
      <c r="W18" s="2">
        <v>155.38125690970497</v>
      </c>
      <c r="X18" s="2">
        <v>149.34706847853278</v>
      </c>
      <c r="Y18" s="2">
        <v>143.7212591036174</v>
      </c>
      <c r="Z18" s="2">
        <v>138.49220176979506</v>
      </c>
      <c r="AA18" s="2">
        <v>133.64395429092639</v>
      </c>
      <c r="AB18" s="2">
        <v>129.15644233194536</v>
      </c>
      <c r="AC18" s="2">
        <v>125.00568595060153</v>
      </c>
      <c r="AD18" s="2">
        <v>121.16406688942151</v>
      </c>
      <c r="AE18" s="2">
        <v>117.60063349112168</v>
      </c>
      <c r="AF18" s="2">
        <v>114.28143979622544</v>
      </c>
      <c r="AG18" s="2">
        <v>111.16991510914835</v>
      </c>
      <c r="AH18" s="2">
        <v>108.22726008707389</v>
      </c>
      <c r="AI18" s="2">
        <v>105.41286521265643</v>
      </c>
      <c r="AJ18" s="2">
        <v>102.68474735486492</v>
      </c>
      <c r="AK18" s="2">
        <f t="shared" si="3"/>
        <v>100</v>
      </c>
      <c r="AL18" s="5">
        <f t="shared" si="4"/>
        <v>0.05</v>
      </c>
      <c r="AM18" s="4">
        <v>16</v>
      </c>
    </row>
    <row r="19" spans="1:39">
      <c r="A19" s="31" t="s">
        <v>14</v>
      </c>
      <c r="B19" s="31"/>
      <c r="E19" s="4">
        <v>15</v>
      </c>
      <c r="F19" s="5">
        <f t="shared" si="1"/>
        <v>4.6666666666666669E-2</v>
      </c>
      <c r="G19" s="2">
        <f t="shared" si="2"/>
        <v>300</v>
      </c>
      <c r="H19" s="2">
        <v>289.33575194387373</v>
      </c>
      <c r="I19" s="2">
        <v>278.71555889862645</v>
      </c>
      <c r="J19" s="2">
        <v>268.18298196962746</v>
      </c>
      <c r="K19" s="2">
        <v>257.78060035449676</v>
      </c>
      <c r="L19" s="2">
        <v>247.54953506111849</v>
      </c>
      <c r="M19" s="2">
        <v>237.52898999220548</v>
      </c>
      <c r="N19" s="2">
        <v>227.75581579138787</v>
      </c>
      <c r="O19" s="2">
        <v>218.26410151926521</v>
      </c>
      <c r="P19" s="2">
        <v>209.08479883311566</v>
      </c>
      <c r="Q19" s="2">
        <v>200.24538288928034</v>
      </c>
      <c r="R19" s="2">
        <v>191.76955368195667</v>
      </c>
      <c r="S19" s="2">
        <v>183.67698098631098</v>
      </c>
      <c r="T19" s="2">
        <v>175.98309549794556</v>
      </c>
      <c r="U19" s="2">
        <v>168.69892816544035</v>
      </c>
      <c r="V19" s="2">
        <v>161.83099910835966</v>
      </c>
      <c r="W19" s="2">
        <v>155.38125690970497</v>
      </c>
      <c r="X19" s="2">
        <v>149.3470684785328</v>
      </c>
      <c r="Y19" s="2">
        <v>143.72125910361743</v>
      </c>
      <c r="Z19" s="2">
        <v>138.49220176979509</v>
      </c>
      <c r="AA19" s="2">
        <v>133.64395429092642</v>
      </c>
      <c r="AB19" s="2">
        <v>129.15644233194536</v>
      </c>
      <c r="AC19" s="2">
        <v>125.00568595060156</v>
      </c>
      <c r="AD19" s="2">
        <v>121.16406688942152</v>
      </c>
      <c r="AE19" s="2">
        <v>117.6006334911217</v>
      </c>
      <c r="AF19" s="2">
        <v>114.28143979622547</v>
      </c>
      <c r="AG19" s="2">
        <v>111.16991510914838</v>
      </c>
      <c r="AH19" s="2">
        <v>108.22726008707392</v>
      </c>
      <c r="AI19" s="2">
        <v>105.41286521265644</v>
      </c>
      <c r="AJ19" s="2">
        <v>102.68474735486495</v>
      </c>
      <c r="AK19" s="2">
        <f t="shared" si="3"/>
        <v>100</v>
      </c>
      <c r="AL19" s="5">
        <f t="shared" si="4"/>
        <v>4.6666666666666669E-2</v>
      </c>
      <c r="AM19" s="4">
        <v>15</v>
      </c>
    </row>
    <row r="20" spans="1:39">
      <c r="A20" s="32" t="s">
        <v>6</v>
      </c>
      <c r="B20" s="33">
        <f>B13/(B5^2)</f>
        <v>4139999.9999999991</v>
      </c>
      <c r="E20" s="4">
        <v>14</v>
      </c>
      <c r="F20" s="5">
        <f t="shared" si="1"/>
        <v>4.3333333333333335E-2</v>
      </c>
      <c r="G20" s="2">
        <f t="shared" si="2"/>
        <v>300</v>
      </c>
      <c r="H20" s="2">
        <v>289.33575194387373</v>
      </c>
      <c r="I20" s="2">
        <v>278.71555889862645</v>
      </c>
      <c r="J20" s="2">
        <v>268.18298196962746</v>
      </c>
      <c r="K20" s="2">
        <v>257.78060035449676</v>
      </c>
      <c r="L20" s="2">
        <v>247.54953506111855</v>
      </c>
      <c r="M20" s="2">
        <v>237.52898999220554</v>
      </c>
      <c r="N20" s="2">
        <v>227.75581579138793</v>
      </c>
      <c r="O20" s="2">
        <v>218.26410151926524</v>
      </c>
      <c r="P20" s="2">
        <v>209.08479883311571</v>
      </c>
      <c r="Q20" s="2">
        <v>200.24538288928034</v>
      </c>
      <c r="R20" s="2">
        <v>191.76955368195667</v>
      </c>
      <c r="S20" s="2">
        <v>183.67698098631104</v>
      </c>
      <c r="T20" s="2">
        <v>175.98309549794561</v>
      </c>
      <c r="U20" s="2">
        <v>168.69892816544038</v>
      </c>
      <c r="V20" s="2">
        <v>161.83099910835972</v>
      </c>
      <c r="W20" s="2">
        <v>155.381256909705</v>
      </c>
      <c r="X20" s="2">
        <v>149.34706847853283</v>
      </c>
      <c r="Y20" s="2">
        <v>143.72125910361746</v>
      </c>
      <c r="Z20" s="2">
        <v>138.49220176979509</v>
      </c>
      <c r="AA20" s="2">
        <v>133.64395429092644</v>
      </c>
      <c r="AB20" s="2">
        <v>129.15644233194536</v>
      </c>
      <c r="AC20" s="2">
        <v>125.00568595060156</v>
      </c>
      <c r="AD20" s="2">
        <v>121.16406688942152</v>
      </c>
      <c r="AE20" s="2">
        <v>117.60063349112173</v>
      </c>
      <c r="AF20" s="2">
        <v>114.2814397962255</v>
      </c>
      <c r="AG20" s="2">
        <v>111.16991510914838</v>
      </c>
      <c r="AH20" s="2">
        <v>108.22726008707394</v>
      </c>
      <c r="AI20" s="2">
        <v>105.41286521265646</v>
      </c>
      <c r="AJ20" s="2">
        <v>102.68474735486497</v>
      </c>
      <c r="AK20" s="2">
        <f t="shared" si="3"/>
        <v>100</v>
      </c>
      <c r="AL20" s="5">
        <f t="shared" si="4"/>
        <v>4.3333333333333335E-2</v>
      </c>
      <c r="AM20" s="4">
        <v>14</v>
      </c>
    </row>
    <row r="21" spans="1:39">
      <c r="A21" s="32" t="s">
        <v>7</v>
      </c>
      <c r="B21" s="33">
        <f>(2*B13)/(B5^2)+(B12*B11)/B8</f>
        <v>11867999.999999998</v>
      </c>
      <c r="E21" s="4">
        <v>13</v>
      </c>
      <c r="F21" s="5">
        <f t="shared" si="1"/>
        <v>0.04</v>
      </c>
      <c r="G21" s="2">
        <f t="shared" si="2"/>
        <v>300</v>
      </c>
      <c r="H21" s="2">
        <v>289.33575194387373</v>
      </c>
      <c r="I21" s="2">
        <v>278.71555889862651</v>
      </c>
      <c r="J21" s="2">
        <v>268.18298196962746</v>
      </c>
      <c r="K21" s="2">
        <v>257.78060035449676</v>
      </c>
      <c r="L21" s="2">
        <v>247.54953506111855</v>
      </c>
      <c r="M21" s="2">
        <v>237.52898999220554</v>
      </c>
      <c r="N21" s="2">
        <v>227.75581579138793</v>
      </c>
      <c r="O21" s="2">
        <v>218.26410151926524</v>
      </c>
      <c r="P21" s="2">
        <v>209.08479883311574</v>
      </c>
      <c r="Q21" s="2">
        <v>200.24538288928034</v>
      </c>
      <c r="R21" s="2">
        <v>191.76955368195667</v>
      </c>
      <c r="S21" s="2">
        <v>183.67698098631104</v>
      </c>
      <c r="T21" s="2">
        <v>175.98309549794561</v>
      </c>
      <c r="U21" s="2">
        <v>168.69892816544041</v>
      </c>
      <c r="V21" s="2">
        <v>161.83099910835972</v>
      </c>
      <c r="W21" s="2">
        <v>155.38125690970503</v>
      </c>
      <c r="X21" s="2">
        <v>149.34706847853283</v>
      </c>
      <c r="Y21" s="2">
        <v>143.72125910361748</v>
      </c>
      <c r="Z21" s="2">
        <v>138.49220176979512</v>
      </c>
      <c r="AA21" s="2">
        <v>133.64395429092647</v>
      </c>
      <c r="AB21" s="2">
        <v>129.15644233194539</v>
      </c>
      <c r="AC21" s="2">
        <v>125.00568595060159</v>
      </c>
      <c r="AD21" s="2">
        <v>121.16406688942153</v>
      </c>
      <c r="AE21" s="2">
        <v>117.60063349112173</v>
      </c>
      <c r="AF21" s="2">
        <v>114.2814397962255</v>
      </c>
      <c r="AG21" s="2">
        <v>111.16991510914839</v>
      </c>
      <c r="AH21" s="2">
        <v>108.22726008707394</v>
      </c>
      <c r="AI21" s="2">
        <v>105.41286521265646</v>
      </c>
      <c r="AJ21" s="2">
        <v>102.68474735486498</v>
      </c>
      <c r="AK21" s="2">
        <f t="shared" si="3"/>
        <v>100</v>
      </c>
      <c r="AL21" s="5">
        <f t="shared" si="4"/>
        <v>0.04</v>
      </c>
      <c r="AM21" s="4">
        <v>13</v>
      </c>
    </row>
    <row r="22" spans="1:39">
      <c r="A22" s="32" t="s">
        <v>8</v>
      </c>
      <c r="B22" s="33">
        <f>B20</f>
        <v>4139999.9999999991</v>
      </c>
      <c r="E22" s="4">
        <v>12</v>
      </c>
      <c r="F22" s="5">
        <f t="shared" si="1"/>
        <v>3.6666666666666667E-2</v>
      </c>
      <c r="G22" s="2">
        <f t="shared" si="2"/>
        <v>300</v>
      </c>
      <c r="H22" s="2">
        <v>289.33575194387373</v>
      </c>
      <c r="I22" s="2">
        <v>278.71555889862651</v>
      </c>
      <c r="J22" s="2">
        <v>268.18298196962746</v>
      </c>
      <c r="K22" s="2">
        <v>257.78060035449676</v>
      </c>
      <c r="L22" s="2">
        <v>247.54953506111855</v>
      </c>
      <c r="M22" s="2">
        <v>237.5289899922056</v>
      </c>
      <c r="N22" s="2">
        <v>227.75581579138793</v>
      </c>
      <c r="O22" s="2">
        <v>218.26410151926524</v>
      </c>
      <c r="P22" s="2">
        <v>209.08479883311577</v>
      </c>
      <c r="Q22" s="2">
        <v>200.24538288928034</v>
      </c>
      <c r="R22" s="2">
        <v>191.76955368195667</v>
      </c>
      <c r="S22" s="2">
        <v>183.67698098631107</v>
      </c>
      <c r="T22" s="2">
        <v>175.98309549794561</v>
      </c>
      <c r="U22" s="2">
        <v>168.69892816544041</v>
      </c>
      <c r="V22" s="2">
        <v>161.83099910835972</v>
      </c>
      <c r="W22" s="2">
        <v>155.38125690970509</v>
      </c>
      <c r="X22" s="2">
        <v>149.34706847853283</v>
      </c>
      <c r="Y22" s="2">
        <v>143.72125910361751</v>
      </c>
      <c r="Z22" s="2">
        <v>138.49220176979514</v>
      </c>
      <c r="AA22" s="2">
        <v>133.6439542909265</v>
      </c>
      <c r="AB22" s="2">
        <v>129.15644233194541</v>
      </c>
      <c r="AC22" s="2">
        <v>125.0056859506016</v>
      </c>
      <c r="AD22" s="2">
        <v>121.16406688942155</v>
      </c>
      <c r="AE22" s="2">
        <v>117.60063349112176</v>
      </c>
      <c r="AF22" s="2">
        <v>114.2814397962255</v>
      </c>
      <c r="AG22" s="2">
        <v>111.16991510914841</v>
      </c>
      <c r="AH22" s="2">
        <v>108.22726008707396</v>
      </c>
      <c r="AI22" s="2">
        <v>105.41286521265647</v>
      </c>
      <c r="AJ22" s="2">
        <v>102.68474735486497</v>
      </c>
      <c r="AK22" s="2">
        <f t="shared" si="3"/>
        <v>100</v>
      </c>
      <c r="AL22" s="5">
        <f t="shared" si="4"/>
        <v>3.6666666666666667E-2</v>
      </c>
      <c r="AM22" s="4">
        <v>12</v>
      </c>
    </row>
    <row r="23" spans="1:39">
      <c r="A23" s="1"/>
      <c r="B23" s="1"/>
      <c r="E23" s="4">
        <v>11</v>
      </c>
      <c r="F23" s="5">
        <f t="shared" si="1"/>
        <v>3.3333333333333333E-2</v>
      </c>
      <c r="G23" s="2">
        <f t="shared" si="2"/>
        <v>300</v>
      </c>
      <c r="H23" s="2">
        <v>289.33575194387373</v>
      </c>
      <c r="I23" s="2">
        <v>278.71555889862651</v>
      </c>
      <c r="J23" s="2">
        <v>268.18298196962746</v>
      </c>
      <c r="K23" s="2">
        <v>257.78060035449676</v>
      </c>
      <c r="L23" s="2">
        <v>247.54953506111855</v>
      </c>
      <c r="M23" s="2">
        <v>237.5289899922056</v>
      </c>
      <c r="N23" s="2">
        <v>227.75581579138793</v>
      </c>
      <c r="O23" s="2">
        <v>218.26410151926524</v>
      </c>
      <c r="P23" s="2">
        <v>209.08479883311577</v>
      </c>
      <c r="Q23" s="2">
        <v>200.24538288928036</v>
      </c>
      <c r="R23" s="2">
        <v>191.76955368195667</v>
      </c>
      <c r="S23" s="2">
        <v>183.67698098631107</v>
      </c>
      <c r="T23" s="2">
        <v>175.98309549794561</v>
      </c>
      <c r="U23" s="2">
        <v>168.69892816544041</v>
      </c>
      <c r="V23" s="2">
        <v>161.83099910835972</v>
      </c>
      <c r="W23" s="2">
        <v>155.38125690970509</v>
      </c>
      <c r="X23" s="2">
        <v>149.34706847853283</v>
      </c>
      <c r="Y23" s="2">
        <v>143.72125910361751</v>
      </c>
      <c r="Z23" s="2">
        <v>138.49220176979514</v>
      </c>
      <c r="AA23" s="2">
        <v>133.6439542909265</v>
      </c>
      <c r="AB23" s="2">
        <v>129.15644233194541</v>
      </c>
      <c r="AC23" s="2">
        <v>125.0056859506016</v>
      </c>
      <c r="AD23" s="2">
        <v>121.16406688942155</v>
      </c>
      <c r="AE23" s="2">
        <v>117.60063349112176</v>
      </c>
      <c r="AF23" s="2">
        <v>114.2814397962255</v>
      </c>
      <c r="AG23" s="2">
        <v>111.16991510914841</v>
      </c>
      <c r="AH23" s="2">
        <v>108.22726008707397</v>
      </c>
      <c r="AI23" s="2">
        <v>105.41286521265646</v>
      </c>
      <c r="AJ23" s="2">
        <v>102.68474735486497</v>
      </c>
      <c r="AK23" s="2">
        <f t="shared" si="3"/>
        <v>100</v>
      </c>
      <c r="AL23" s="5">
        <f t="shared" si="4"/>
        <v>3.3333333333333333E-2</v>
      </c>
      <c r="AM23" s="4">
        <v>11</v>
      </c>
    </row>
    <row r="24" spans="1:39">
      <c r="A24" s="34" t="s">
        <v>15</v>
      </c>
      <c r="B24" s="34"/>
      <c r="E24" s="4">
        <v>10</v>
      </c>
      <c r="F24" s="5">
        <f t="shared" si="1"/>
        <v>3.0000000000000002E-2</v>
      </c>
      <c r="G24" s="2">
        <f t="shared" si="2"/>
        <v>300</v>
      </c>
      <c r="H24" s="2">
        <v>289.33575194387373</v>
      </c>
      <c r="I24" s="2">
        <v>278.71555889862651</v>
      </c>
      <c r="J24" s="2">
        <v>268.18298196962746</v>
      </c>
      <c r="K24" s="2">
        <v>257.78060035449681</v>
      </c>
      <c r="L24" s="2">
        <v>247.54953506111855</v>
      </c>
      <c r="M24" s="2">
        <v>237.5289899922056</v>
      </c>
      <c r="N24" s="2">
        <v>227.75581579138793</v>
      </c>
      <c r="O24" s="2">
        <v>218.26410151926524</v>
      </c>
      <c r="P24" s="2">
        <v>209.08479883311577</v>
      </c>
      <c r="Q24" s="2">
        <v>200.24538288928039</v>
      </c>
      <c r="R24" s="2">
        <v>191.76955368195667</v>
      </c>
      <c r="S24" s="2">
        <v>183.67698098631109</v>
      </c>
      <c r="T24" s="2">
        <v>175.98309549794564</v>
      </c>
      <c r="U24" s="2">
        <v>168.69892816544041</v>
      </c>
      <c r="V24" s="2">
        <v>161.83099910835972</v>
      </c>
      <c r="W24" s="2">
        <v>155.38125690970509</v>
      </c>
      <c r="X24" s="2">
        <v>149.34706847853289</v>
      </c>
      <c r="Y24" s="2">
        <v>143.72125910361751</v>
      </c>
      <c r="Z24" s="2">
        <v>138.49220176979517</v>
      </c>
      <c r="AA24" s="2">
        <v>133.64395429092653</v>
      </c>
      <c r="AB24" s="2">
        <v>129.15644233194541</v>
      </c>
      <c r="AC24" s="2">
        <v>125.00568595060162</v>
      </c>
      <c r="AD24" s="2">
        <v>121.16406688942156</v>
      </c>
      <c r="AE24" s="2">
        <v>117.60063349112177</v>
      </c>
      <c r="AF24" s="2">
        <v>114.28143979622551</v>
      </c>
      <c r="AG24" s="2">
        <v>111.16991510914842</v>
      </c>
      <c r="AH24" s="2">
        <v>108.22726008707397</v>
      </c>
      <c r="AI24" s="2">
        <v>105.41286521265646</v>
      </c>
      <c r="AJ24" s="2">
        <v>102.68474735486497</v>
      </c>
      <c r="AK24" s="2">
        <f t="shared" si="3"/>
        <v>100</v>
      </c>
      <c r="AL24" s="5">
        <f t="shared" si="4"/>
        <v>3.0000000000000002E-2</v>
      </c>
      <c r="AM24" s="4">
        <v>10</v>
      </c>
    </row>
    <row r="25" spans="1:39">
      <c r="A25" s="35" t="s">
        <v>6</v>
      </c>
      <c r="B25" s="35">
        <f>B13/(B6^2)</f>
        <v>4139999.9999999991</v>
      </c>
      <c r="E25" s="4">
        <v>9</v>
      </c>
      <c r="F25" s="5">
        <f t="shared" si="1"/>
        <v>2.6666666666666668E-2</v>
      </c>
      <c r="G25" s="2">
        <f t="shared" si="2"/>
        <v>300</v>
      </c>
      <c r="H25" s="2">
        <v>289.33575194387373</v>
      </c>
      <c r="I25" s="2">
        <v>278.71555889862651</v>
      </c>
      <c r="J25" s="2">
        <v>268.18298196962752</v>
      </c>
      <c r="K25" s="2">
        <v>257.78060035449687</v>
      </c>
      <c r="L25" s="2">
        <v>247.5495350611186</v>
      </c>
      <c r="M25" s="2">
        <v>237.5289899922056</v>
      </c>
      <c r="N25" s="2">
        <v>227.75581579138799</v>
      </c>
      <c r="O25" s="2">
        <v>218.26410151926527</v>
      </c>
      <c r="P25" s="2">
        <v>209.0847988331158</v>
      </c>
      <c r="Q25" s="2">
        <v>200.24538288928045</v>
      </c>
      <c r="R25" s="2">
        <v>191.76955368195672</v>
      </c>
      <c r="S25" s="2">
        <v>183.67698098631112</v>
      </c>
      <c r="T25" s="2">
        <v>175.98309549794567</v>
      </c>
      <c r="U25" s="2">
        <v>168.69892816544044</v>
      </c>
      <c r="V25" s="2">
        <v>161.83099910835975</v>
      </c>
      <c r="W25" s="2">
        <v>155.38125690970512</v>
      </c>
      <c r="X25" s="2">
        <v>149.34706847853289</v>
      </c>
      <c r="Y25" s="2">
        <v>143.72125910361754</v>
      </c>
      <c r="Z25" s="2">
        <v>138.49220176979517</v>
      </c>
      <c r="AA25" s="2">
        <v>133.64395429092656</v>
      </c>
      <c r="AB25" s="2">
        <v>129.15644233194544</v>
      </c>
      <c r="AC25" s="2">
        <v>125.00568595060165</v>
      </c>
      <c r="AD25" s="2">
        <v>121.1640668894216</v>
      </c>
      <c r="AE25" s="2">
        <v>117.6006334911218</v>
      </c>
      <c r="AF25" s="2">
        <v>114.28143979622556</v>
      </c>
      <c r="AG25" s="2">
        <v>111.16991510914843</v>
      </c>
      <c r="AH25" s="2">
        <v>108.22726008707397</v>
      </c>
      <c r="AI25" s="2">
        <v>105.41286521265647</v>
      </c>
      <c r="AJ25" s="2">
        <v>102.68474735486497</v>
      </c>
      <c r="AK25" s="2">
        <f t="shared" si="3"/>
        <v>100</v>
      </c>
      <c r="AL25" s="5">
        <f t="shared" si="4"/>
        <v>2.6666666666666668E-2</v>
      </c>
      <c r="AM25" s="4">
        <v>9</v>
      </c>
    </row>
    <row r="26" spans="1:39">
      <c r="A26" s="35" t="s">
        <v>7</v>
      </c>
      <c r="B26" s="35">
        <f>(2*B13)/(B6^2)+(B12*B11)/B8</f>
        <v>11867999.999999998</v>
      </c>
      <c r="E26" s="4">
        <v>8</v>
      </c>
      <c r="F26" s="5">
        <f t="shared" si="1"/>
        <v>2.3333333333333334E-2</v>
      </c>
      <c r="G26" s="2">
        <f t="shared" si="2"/>
        <v>300</v>
      </c>
      <c r="H26" s="2">
        <v>289.33575194387379</v>
      </c>
      <c r="I26" s="2">
        <v>278.71555889862657</v>
      </c>
      <c r="J26" s="2">
        <v>268.18298196962758</v>
      </c>
      <c r="K26" s="2">
        <v>257.78060035449687</v>
      </c>
      <c r="L26" s="2">
        <v>247.54953506111863</v>
      </c>
      <c r="M26" s="2">
        <v>237.52898999220565</v>
      </c>
      <c r="N26" s="2">
        <v>227.75581579138804</v>
      </c>
      <c r="O26" s="2">
        <v>218.2641015192653</v>
      </c>
      <c r="P26" s="2">
        <v>209.08479883311583</v>
      </c>
      <c r="Q26" s="2">
        <v>200.24538288928045</v>
      </c>
      <c r="R26" s="2">
        <v>191.76955368195675</v>
      </c>
      <c r="S26" s="2">
        <v>183.67698098631112</v>
      </c>
      <c r="T26" s="2">
        <v>175.98309549794567</v>
      </c>
      <c r="U26" s="2">
        <v>168.69892816544046</v>
      </c>
      <c r="V26" s="2">
        <v>161.83099910835978</v>
      </c>
      <c r="W26" s="2">
        <v>155.38125690970514</v>
      </c>
      <c r="X26" s="2">
        <v>149.34706847853289</v>
      </c>
      <c r="Y26" s="2">
        <v>143.72125910361757</v>
      </c>
      <c r="Z26" s="2">
        <v>138.4922017697952</v>
      </c>
      <c r="AA26" s="2">
        <v>133.64395429092659</v>
      </c>
      <c r="AB26" s="2">
        <v>129.15644233194547</v>
      </c>
      <c r="AC26" s="2">
        <v>125.00568595060167</v>
      </c>
      <c r="AD26" s="2">
        <v>121.16406688942162</v>
      </c>
      <c r="AE26" s="2">
        <v>117.60063349112181</v>
      </c>
      <c r="AF26" s="2">
        <v>114.28143979622557</v>
      </c>
      <c r="AG26" s="2">
        <v>111.16991510914845</v>
      </c>
      <c r="AH26" s="2">
        <v>108.22726008707397</v>
      </c>
      <c r="AI26" s="2">
        <v>105.41286521265647</v>
      </c>
      <c r="AJ26" s="2">
        <v>102.68474735486498</v>
      </c>
      <c r="AK26" s="2">
        <f t="shared" si="3"/>
        <v>100</v>
      </c>
      <c r="AL26" s="5">
        <f t="shared" si="4"/>
        <v>2.3333333333333334E-2</v>
      </c>
      <c r="AM26" s="4">
        <v>8</v>
      </c>
    </row>
    <row r="27" spans="1:39">
      <c r="A27" s="35" t="s">
        <v>8</v>
      </c>
      <c r="B27" s="35">
        <f>B25</f>
        <v>4139999.9999999991</v>
      </c>
      <c r="E27" s="4">
        <v>7</v>
      </c>
      <c r="F27" s="5">
        <f t="shared" si="1"/>
        <v>0.02</v>
      </c>
      <c r="G27" s="2">
        <f t="shared" si="2"/>
        <v>300</v>
      </c>
      <c r="H27" s="2">
        <v>289.33575194387379</v>
      </c>
      <c r="I27" s="2">
        <v>278.71555889862657</v>
      </c>
      <c r="J27" s="2">
        <v>268.18298196962758</v>
      </c>
      <c r="K27" s="2">
        <v>257.78060035449687</v>
      </c>
      <c r="L27" s="2">
        <v>247.5495350611186</v>
      </c>
      <c r="M27" s="2">
        <v>237.5289899922056</v>
      </c>
      <c r="N27" s="2">
        <v>227.75581579138802</v>
      </c>
      <c r="O27" s="2">
        <v>218.2641015192653</v>
      </c>
      <c r="P27" s="2">
        <v>209.08479883311583</v>
      </c>
      <c r="Q27" s="2">
        <v>200.24538288928045</v>
      </c>
      <c r="R27" s="2">
        <v>191.76955368195675</v>
      </c>
      <c r="S27" s="2">
        <v>183.67698098631109</v>
      </c>
      <c r="T27" s="2">
        <v>175.98309549794567</v>
      </c>
      <c r="U27" s="2">
        <v>168.69892816544046</v>
      </c>
      <c r="V27" s="2">
        <v>161.83099910835978</v>
      </c>
      <c r="W27" s="2">
        <v>155.38125690970514</v>
      </c>
      <c r="X27" s="2">
        <v>149.34706847853289</v>
      </c>
      <c r="Y27" s="2">
        <v>143.72125910361757</v>
      </c>
      <c r="Z27" s="2">
        <v>138.4922017697952</v>
      </c>
      <c r="AA27" s="2">
        <v>133.64395429092656</v>
      </c>
      <c r="AB27" s="2">
        <v>129.15644233194547</v>
      </c>
      <c r="AC27" s="2">
        <v>125.00568595060167</v>
      </c>
      <c r="AD27" s="2">
        <v>121.1640668894216</v>
      </c>
      <c r="AE27" s="2">
        <v>117.60063349112181</v>
      </c>
      <c r="AF27" s="2">
        <v>114.28143979622557</v>
      </c>
      <c r="AG27" s="2">
        <v>111.16991510914843</v>
      </c>
      <c r="AH27" s="2">
        <v>108.22726008707397</v>
      </c>
      <c r="AI27" s="2">
        <v>105.41286521265647</v>
      </c>
      <c r="AJ27" s="2">
        <v>102.68474735486498</v>
      </c>
      <c r="AK27" s="2">
        <f t="shared" si="3"/>
        <v>100</v>
      </c>
      <c r="AL27" s="5">
        <f t="shared" si="4"/>
        <v>0.02</v>
      </c>
      <c r="AM27" s="4">
        <v>7</v>
      </c>
    </row>
    <row r="28" spans="1:39">
      <c r="E28" s="4">
        <v>6</v>
      </c>
      <c r="F28" s="5">
        <f t="shared" si="1"/>
        <v>1.6666666666666666E-2</v>
      </c>
      <c r="G28" s="2">
        <f t="shared" si="2"/>
        <v>300</v>
      </c>
      <c r="H28" s="2">
        <v>289.33575194387379</v>
      </c>
      <c r="I28" s="2">
        <v>278.71555889862657</v>
      </c>
      <c r="J28" s="2">
        <v>268.18298196962758</v>
      </c>
      <c r="K28" s="2">
        <v>257.78060035449687</v>
      </c>
      <c r="L28" s="2">
        <v>247.54953506111855</v>
      </c>
      <c r="M28" s="2">
        <v>237.5289899922056</v>
      </c>
      <c r="N28" s="2">
        <v>227.75581579138799</v>
      </c>
      <c r="O28" s="2">
        <v>218.26410151926527</v>
      </c>
      <c r="P28" s="2">
        <v>209.08479883311583</v>
      </c>
      <c r="Q28" s="2">
        <v>200.24538288928045</v>
      </c>
      <c r="R28" s="2">
        <v>191.76955368195672</v>
      </c>
      <c r="S28" s="2">
        <v>183.67698098631109</v>
      </c>
      <c r="T28" s="2">
        <v>175.98309549794567</v>
      </c>
      <c r="U28" s="2">
        <v>168.69892816544046</v>
      </c>
      <c r="V28" s="2">
        <v>161.83099910835978</v>
      </c>
      <c r="W28" s="2">
        <v>155.38125690970514</v>
      </c>
      <c r="X28" s="2">
        <v>149.34706847853289</v>
      </c>
      <c r="Y28" s="2">
        <v>143.72125910361754</v>
      </c>
      <c r="Z28" s="2">
        <v>138.49220176979517</v>
      </c>
      <c r="AA28" s="2">
        <v>133.64395429092653</v>
      </c>
      <c r="AB28" s="2">
        <v>129.15644233194547</v>
      </c>
      <c r="AC28" s="2">
        <v>125.00568595060167</v>
      </c>
      <c r="AD28" s="2">
        <v>121.16406688942158</v>
      </c>
      <c r="AE28" s="2">
        <v>117.60063349112181</v>
      </c>
      <c r="AF28" s="2">
        <v>114.28143979622556</v>
      </c>
      <c r="AG28" s="2">
        <v>111.16991510914843</v>
      </c>
      <c r="AH28" s="2">
        <v>108.22726008707397</v>
      </c>
      <c r="AI28" s="2">
        <v>105.41286521265647</v>
      </c>
      <c r="AJ28" s="2">
        <v>102.68474735486498</v>
      </c>
      <c r="AK28" s="2">
        <f t="shared" si="3"/>
        <v>100</v>
      </c>
      <c r="AL28" s="5">
        <f t="shared" si="4"/>
        <v>1.6666666666666666E-2</v>
      </c>
      <c r="AM28" s="4">
        <v>6</v>
      </c>
    </row>
    <row r="29" spans="1:39">
      <c r="E29" s="4">
        <v>5</v>
      </c>
      <c r="F29" s="5">
        <f t="shared" si="1"/>
        <v>1.3333333333333334E-2</v>
      </c>
      <c r="G29" s="2">
        <f t="shared" si="2"/>
        <v>300</v>
      </c>
      <c r="H29" s="2">
        <v>289.33575194387379</v>
      </c>
      <c r="I29" s="2">
        <v>278.71555889862651</v>
      </c>
      <c r="J29" s="2">
        <v>268.18298196962752</v>
      </c>
      <c r="K29" s="2">
        <v>257.78060035449681</v>
      </c>
      <c r="L29" s="2">
        <v>247.54953506111849</v>
      </c>
      <c r="M29" s="2">
        <v>237.52898999220557</v>
      </c>
      <c r="N29" s="2">
        <v>227.75581579138793</v>
      </c>
      <c r="O29" s="2">
        <v>218.26410151926524</v>
      </c>
      <c r="P29" s="2">
        <v>209.08479883311583</v>
      </c>
      <c r="Q29" s="2">
        <v>200.24538288928045</v>
      </c>
      <c r="R29" s="2">
        <v>191.76955368195672</v>
      </c>
      <c r="S29" s="2">
        <v>183.67698098631109</v>
      </c>
      <c r="T29" s="2">
        <v>175.98309549794567</v>
      </c>
      <c r="U29" s="2">
        <v>168.69892816544044</v>
      </c>
      <c r="V29" s="2">
        <v>161.83099910835975</v>
      </c>
      <c r="W29" s="2">
        <v>155.38125690970509</v>
      </c>
      <c r="X29" s="2">
        <v>149.34706847853286</v>
      </c>
      <c r="Y29" s="2">
        <v>143.72125910361754</v>
      </c>
      <c r="Z29" s="2">
        <v>138.49220176979517</v>
      </c>
      <c r="AA29" s="2">
        <v>133.6439542909265</v>
      </c>
      <c r="AB29" s="2">
        <v>129.15644233194544</v>
      </c>
      <c r="AC29" s="2">
        <v>125.00568595060165</v>
      </c>
      <c r="AD29" s="2">
        <v>121.16406688942156</v>
      </c>
      <c r="AE29" s="2">
        <v>117.60063349112178</v>
      </c>
      <c r="AF29" s="2">
        <v>114.28143979622553</v>
      </c>
      <c r="AG29" s="2">
        <v>111.16991510914843</v>
      </c>
      <c r="AH29" s="2">
        <v>108.22726008707397</v>
      </c>
      <c r="AI29" s="2">
        <v>105.41286521265647</v>
      </c>
      <c r="AJ29" s="2">
        <v>102.68474735486497</v>
      </c>
      <c r="AK29" s="2">
        <f t="shared" si="3"/>
        <v>100</v>
      </c>
      <c r="AL29" s="5">
        <f t="shared" si="4"/>
        <v>1.3333333333333334E-2</v>
      </c>
      <c r="AM29" s="4">
        <v>5</v>
      </c>
    </row>
    <row r="30" spans="1:39">
      <c r="E30" s="4">
        <v>4</v>
      </c>
      <c r="F30" s="5">
        <f t="shared" si="1"/>
        <v>0.01</v>
      </c>
      <c r="G30" s="2">
        <f t="shared" si="2"/>
        <v>300</v>
      </c>
      <c r="H30" s="2">
        <v>289.33575194387373</v>
      </c>
      <c r="I30" s="2">
        <v>278.71555889862651</v>
      </c>
      <c r="J30" s="2">
        <v>268.18298196962746</v>
      </c>
      <c r="K30" s="2">
        <v>257.7806003544967</v>
      </c>
      <c r="L30" s="2">
        <v>247.54953506111843</v>
      </c>
      <c r="M30" s="2">
        <v>237.52898999220548</v>
      </c>
      <c r="N30" s="2">
        <v>227.7558157913879</v>
      </c>
      <c r="O30" s="2">
        <v>218.26410151926518</v>
      </c>
      <c r="P30" s="2">
        <v>209.08479883311577</v>
      </c>
      <c r="Q30" s="2">
        <v>200.24538288928039</v>
      </c>
      <c r="R30" s="2">
        <v>191.76955368195669</v>
      </c>
      <c r="S30" s="2">
        <v>183.67698098631104</v>
      </c>
      <c r="T30" s="2">
        <v>175.98309549794561</v>
      </c>
      <c r="U30" s="2">
        <v>168.69892816544041</v>
      </c>
      <c r="V30" s="2">
        <v>161.83099910835972</v>
      </c>
      <c r="W30" s="2">
        <v>155.38125690970506</v>
      </c>
      <c r="X30" s="2">
        <v>149.34706847853283</v>
      </c>
      <c r="Y30" s="2">
        <v>143.72125910361751</v>
      </c>
      <c r="Z30" s="2">
        <v>138.49220176979514</v>
      </c>
      <c r="AA30" s="2">
        <v>133.64395429092644</v>
      </c>
      <c r="AB30" s="2">
        <v>129.15644233194541</v>
      </c>
      <c r="AC30" s="2">
        <v>125.00568595060159</v>
      </c>
      <c r="AD30" s="2">
        <v>121.16406688942155</v>
      </c>
      <c r="AE30" s="2">
        <v>117.60063349112173</v>
      </c>
      <c r="AF30" s="2">
        <v>114.28143979622548</v>
      </c>
      <c r="AG30" s="2">
        <v>111.16991510914841</v>
      </c>
      <c r="AH30" s="2">
        <v>108.22726008707394</v>
      </c>
      <c r="AI30" s="2">
        <v>105.41286521265644</v>
      </c>
      <c r="AJ30" s="2">
        <v>102.68474735486495</v>
      </c>
      <c r="AK30" s="2">
        <f t="shared" si="3"/>
        <v>100</v>
      </c>
      <c r="AL30" s="5">
        <f t="shared" si="4"/>
        <v>0.01</v>
      </c>
      <c r="AM30" s="4">
        <v>4</v>
      </c>
    </row>
    <row r="31" spans="1:39">
      <c r="C31">
        <v>0</v>
      </c>
      <c r="E31" s="4">
        <v>3</v>
      </c>
      <c r="F31" s="5">
        <f t="shared" si="1"/>
        <v>6.6666666666666671E-3</v>
      </c>
      <c r="G31" s="2">
        <f t="shared" si="2"/>
        <v>300</v>
      </c>
      <c r="H31" s="2">
        <v>289.33575194387367</v>
      </c>
      <c r="I31" s="2">
        <v>278.71555889862645</v>
      </c>
      <c r="J31" s="2">
        <v>268.18298196962741</v>
      </c>
      <c r="K31" s="2">
        <v>257.78060035449664</v>
      </c>
      <c r="L31" s="2">
        <v>247.54953506111841</v>
      </c>
      <c r="M31" s="2">
        <v>237.52898999220542</v>
      </c>
      <c r="N31" s="2">
        <v>227.75581579138785</v>
      </c>
      <c r="O31" s="2">
        <v>218.26410151926515</v>
      </c>
      <c r="P31" s="2">
        <v>209.08479883311571</v>
      </c>
      <c r="Q31" s="2">
        <v>200.24538288928036</v>
      </c>
      <c r="R31" s="2">
        <v>191.76955368195667</v>
      </c>
      <c r="S31" s="2">
        <v>183.67698098631101</v>
      </c>
      <c r="T31" s="2">
        <v>175.98309549794558</v>
      </c>
      <c r="U31" s="2">
        <v>168.69892816544041</v>
      </c>
      <c r="V31" s="2">
        <v>161.83099910835972</v>
      </c>
      <c r="W31" s="2">
        <v>155.38125690970503</v>
      </c>
      <c r="X31" s="2">
        <v>149.3470684785328</v>
      </c>
      <c r="Y31" s="2">
        <v>143.72125910361748</v>
      </c>
      <c r="Z31" s="2">
        <v>138.49220176979512</v>
      </c>
      <c r="AA31" s="2">
        <v>133.64395429092644</v>
      </c>
      <c r="AB31" s="2">
        <v>129.15644233194539</v>
      </c>
      <c r="AC31" s="2">
        <v>125.00568595060156</v>
      </c>
      <c r="AD31" s="2">
        <v>121.16406688942152</v>
      </c>
      <c r="AE31" s="2">
        <v>117.60063349112171</v>
      </c>
      <c r="AF31" s="2">
        <v>114.28143979622547</v>
      </c>
      <c r="AG31" s="2">
        <v>111.16991510914838</v>
      </c>
      <c r="AH31" s="2">
        <v>108.22726008707394</v>
      </c>
      <c r="AI31" s="2">
        <v>105.41286521265644</v>
      </c>
      <c r="AJ31" s="2">
        <v>102.68474735486495</v>
      </c>
      <c r="AK31" s="2">
        <f t="shared" si="3"/>
        <v>100</v>
      </c>
      <c r="AL31" s="5">
        <f t="shared" si="4"/>
        <v>6.6666666666666671E-3</v>
      </c>
      <c r="AM31" s="4">
        <v>3</v>
      </c>
    </row>
    <row r="32" spans="1:39">
      <c r="E32" s="4">
        <v>2</v>
      </c>
      <c r="F32" s="5">
        <f>$B$6*(E32-1)</f>
        <v>3.3333333333333335E-3</v>
      </c>
      <c r="G32" s="2">
        <f t="shared" si="2"/>
        <v>300</v>
      </c>
      <c r="H32" s="2">
        <v>289.33575194387367</v>
      </c>
      <c r="I32" s="2">
        <v>278.71555889862645</v>
      </c>
      <c r="J32" s="2">
        <v>268.18298196962741</v>
      </c>
      <c r="K32" s="2">
        <v>257.78060035449664</v>
      </c>
      <c r="L32" s="2">
        <v>247.54953506111843</v>
      </c>
      <c r="M32" s="2">
        <v>237.52898999220542</v>
      </c>
      <c r="N32" s="2">
        <v>227.75581579138785</v>
      </c>
      <c r="O32" s="2">
        <v>218.26410151926518</v>
      </c>
      <c r="P32" s="2">
        <v>209.08479883311568</v>
      </c>
      <c r="Q32" s="2">
        <v>200.24538288928036</v>
      </c>
      <c r="R32" s="2">
        <v>191.76955368195667</v>
      </c>
      <c r="S32" s="2">
        <v>183.67698098631104</v>
      </c>
      <c r="T32" s="2">
        <v>175.98309549794561</v>
      </c>
      <c r="U32" s="2">
        <v>168.69892816544041</v>
      </c>
      <c r="V32" s="2">
        <v>161.83099910835972</v>
      </c>
      <c r="W32" s="2">
        <v>155.38125690970503</v>
      </c>
      <c r="X32" s="2">
        <v>149.34706847853283</v>
      </c>
      <c r="Y32" s="2">
        <v>143.72125910361746</v>
      </c>
      <c r="Z32" s="2">
        <v>138.49220176979512</v>
      </c>
      <c r="AA32" s="2">
        <v>133.64395429092644</v>
      </c>
      <c r="AB32" s="2">
        <v>129.15644233194539</v>
      </c>
      <c r="AC32" s="2">
        <v>125.00568595060157</v>
      </c>
      <c r="AD32" s="2">
        <v>121.16406688942152</v>
      </c>
      <c r="AE32" s="2">
        <v>117.60063349112173</v>
      </c>
      <c r="AF32" s="2">
        <v>114.28143979622547</v>
      </c>
      <c r="AG32" s="2">
        <v>111.16991510914839</v>
      </c>
      <c r="AH32" s="2">
        <v>108.22726008707394</v>
      </c>
      <c r="AI32" s="2">
        <v>105.41286521265644</v>
      </c>
      <c r="AJ32" s="2">
        <v>102.68474735486495</v>
      </c>
      <c r="AK32" s="2">
        <f t="shared" si="3"/>
        <v>100</v>
      </c>
      <c r="AL32" s="5">
        <f t="shared" si="4"/>
        <v>3.3333333333333335E-3</v>
      </c>
      <c r="AM32" s="4">
        <v>2</v>
      </c>
    </row>
    <row r="33" spans="5:138">
      <c r="E33" s="4">
        <v>1</v>
      </c>
      <c r="F33" s="5">
        <v>0</v>
      </c>
      <c r="G33" s="2">
        <f t="shared" si="2"/>
        <v>300</v>
      </c>
      <c r="H33" s="2">
        <v>289.33575194387367</v>
      </c>
      <c r="I33" s="2">
        <v>278.71555889862645</v>
      </c>
      <c r="J33" s="2">
        <v>268.18298196962741</v>
      </c>
      <c r="K33" s="2">
        <v>257.78060035449664</v>
      </c>
      <c r="L33" s="2">
        <v>247.54953506111843</v>
      </c>
      <c r="M33" s="2">
        <v>237.52898999220542</v>
      </c>
      <c r="N33" s="2">
        <v>227.75581579138785</v>
      </c>
      <c r="O33" s="2">
        <v>218.26410151926518</v>
      </c>
      <c r="P33" s="2">
        <v>209.08479883311568</v>
      </c>
      <c r="Q33" s="2">
        <v>200.24538288928036</v>
      </c>
      <c r="R33" s="2">
        <v>191.76955368195667</v>
      </c>
      <c r="S33" s="2">
        <v>183.67698098631104</v>
      </c>
      <c r="T33" s="2">
        <v>175.98309549794561</v>
      </c>
      <c r="U33" s="2">
        <v>168.69892816544041</v>
      </c>
      <c r="V33" s="2">
        <v>161.83099910835972</v>
      </c>
      <c r="W33" s="2">
        <v>155.38125690970503</v>
      </c>
      <c r="X33" s="2">
        <v>149.34706847853283</v>
      </c>
      <c r="Y33" s="2">
        <v>143.72125910361746</v>
      </c>
      <c r="Z33" s="2">
        <v>138.49220176979512</v>
      </c>
      <c r="AA33" s="2">
        <v>133.64395429092644</v>
      </c>
      <c r="AB33" s="2">
        <v>129.15644233194539</v>
      </c>
      <c r="AC33" s="2">
        <v>125.00568595060157</v>
      </c>
      <c r="AD33" s="2">
        <v>121.16406688942152</v>
      </c>
      <c r="AE33" s="2">
        <v>117.60063349112173</v>
      </c>
      <c r="AF33" s="2">
        <v>114.28143979622547</v>
      </c>
      <c r="AG33" s="2">
        <v>111.16991510914839</v>
      </c>
      <c r="AH33" s="2">
        <v>108.22726008707394</v>
      </c>
      <c r="AI33" s="2">
        <v>105.41286521265644</v>
      </c>
      <c r="AJ33" s="2">
        <v>102.68474735486495</v>
      </c>
      <c r="AK33" s="2">
        <f t="shared" si="3"/>
        <v>100</v>
      </c>
      <c r="AL33" s="5">
        <f t="shared" si="4"/>
        <v>0</v>
      </c>
      <c r="AM33" s="4">
        <v>1</v>
      </c>
    </row>
    <row r="34" spans="5:138">
      <c r="E34" s="11"/>
      <c r="F34" s="8"/>
      <c r="G34" s="4">
        <v>0</v>
      </c>
      <c r="H34" s="5">
        <f>$B$5*(H35-1)</f>
        <v>3.3333333333333335E-3</v>
      </c>
      <c r="I34" s="5">
        <f t="shared" ref="I34:AK34" si="5">$B$5*(I35-1)</f>
        <v>6.6666666666666671E-3</v>
      </c>
      <c r="J34" s="5">
        <f t="shared" si="5"/>
        <v>0.01</v>
      </c>
      <c r="K34" s="5">
        <f t="shared" si="5"/>
        <v>1.3333333333333334E-2</v>
      </c>
      <c r="L34" s="5">
        <f t="shared" si="5"/>
        <v>1.6666666666666666E-2</v>
      </c>
      <c r="M34" s="5">
        <f t="shared" si="5"/>
        <v>0.02</v>
      </c>
      <c r="N34" s="5">
        <f t="shared" si="5"/>
        <v>2.3333333333333334E-2</v>
      </c>
      <c r="O34" s="5">
        <f t="shared" si="5"/>
        <v>2.6666666666666668E-2</v>
      </c>
      <c r="P34" s="5">
        <f t="shared" si="5"/>
        <v>3.0000000000000002E-2</v>
      </c>
      <c r="Q34" s="5">
        <f t="shared" si="5"/>
        <v>3.3333333333333333E-2</v>
      </c>
      <c r="R34" s="5">
        <f t="shared" si="5"/>
        <v>3.6666666666666667E-2</v>
      </c>
      <c r="S34" s="5">
        <f t="shared" si="5"/>
        <v>0.04</v>
      </c>
      <c r="T34" s="5">
        <f t="shared" si="5"/>
        <v>4.3333333333333335E-2</v>
      </c>
      <c r="U34" s="5">
        <f t="shared" si="5"/>
        <v>4.6666666666666669E-2</v>
      </c>
      <c r="V34" s="5">
        <f t="shared" si="5"/>
        <v>0.05</v>
      </c>
      <c r="W34" s="5">
        <f t="shared" si="5"/>
        <v>5.3333333333333337E-2</v>
      </c>
      <c r="X34" s="5">
        <f t="shared" si="5"/>
        <v>5.6666666666666671E-2</v>
      </c>
      <c r="Y34" s="5">
        <f t="shared" si="5"/>
        <v>6.0000000000000005E-2</v>
      </c>
      <c r="Z34" s="5">
        <f t="shared" si="5"/>
        <v>6.3333333333333339E-2</v>
      </c>
      <c r="AA34" s="5">
        <f t="shared" si="5"/>
        <v>6.6666666666666666E-2</v>
      </c>
      <c r="AB34" s="5">
        <f t="shared" si="5"/>
        <v>7.0000000000000007E-2</v>
      </c>
      <c r="AC34" s="5">
        <f t="shared" si="5"/>
        <v>7.3333333333333334E-2</v>
      </c>
      <c r="AD34" s="5">
        <f t="shared" si="5"/>
        <v>7.6666666666666675E-2</v>
      </c>
      <c r="AE34" s="5">
        <f t="shared" si="5"/>
        <v>0.08</v>
      </c>
      <c r="AF34" s="5">
        <f t="shared" si="5"/>
        <v>8.3333333333333343E-2</v>
      </c>
      <c r="AG34" s="5">
        <f t="shared" si="5"/>
        <v>8.666666666666667E-2</v>
      </c>
      <c r="AH34" s="5">
        <f t="shared" si="5"/>
        <v>9.0000000000000011E-2</v>
      </c>
      <c r="AI34" s="5">
        <f t="shared" si="5"/>
        <v>9.3333333333333338E-2</v>
      </c>
      <c r="AJ34" s="5">
        <f t="shared" si="5"/>
        <v>9.6666666666666679E-2</v>
      </c>
      <c r="AK34" s="5">
        <f t="shared" si="5"/>
        <v>0.1</v>
      </c>
      <c r="AL34" s="3"/>
      <c r="AM34" s="8"/>
      <c r="AN34" s="7"/>
    </row>
    <row r="35" spans="5:138">
      <c r="E35" s="12"/>
      <c r="F35" s="9"/>
      <c r="G35" s="4">
        <v>1</v>
      </c>
      <c r="H35" s="4">
        <v>2</v>
      </c>
      <c r="I35" s="4">
        <v>3</v>
      </c>
      <c r="J35" s="4">
        <v>4</v>
      </c>
      <c r="K35" s="4">
        <v>5</v>
      </c>
      <c r="L35" s="4">
        <v>6</v>
      </c>
      <c r="M35" s="4">
        <v>7</v>
      </c>
      <c r="N35" s="4">
        <v>8</v>
      </c>
      <c r="O35" s="4">
        <v>9</v>
      </c>
      <c r="P35" s="4">
        <v>10</v>
      </c>
      <c r="Q35" s="4">
        <v>11</v>
      </c>
      <c r="R35" s="4">
        <v>12</v>
      </c>
      <c r="S35" s="4">
        <v>13</v>
      </c>
      <c r="T35" s="4">
        <v>14</v>
      </c>
      <c r="U35" s="4">
        <v>15</v>
      </c>
      <c r="V35" s="4">
        <v>16</v>
      </c>
      <c r="W35" s="4">
        <v>17</v>
      </c>
      <c r="X35" s="4">
        <v>18</v>
      </c>
      <c r="Y35" s="4">
        <v>19</v>
      </c>
      <c r="Z35" s="4">
        <v>20</v>
      </c>
      <c r="AA35" s="4">
        <v>21</v>
      </c>
      <c r="AB35" s="4">
        <v>22</v>
      </c>
      <c r="AC35" s="4">
        <v>23</v>
      </c>
      <c r="AD35" s="4">
        <v>24</v>
      </c>
      <c r="AE35" s="4">
        <v>25</v>
      </c>
      <c r="AF35" s="4">
        <v>26</v>
      </c>
      <c r="AG35" s="4">
        <v>27</v>
      </c>
      <c r="AH35" s="4">
        <v>28</v>
      </c>
      <c r="AI35" s="4">
        <v>29</v>
      </c>
      <c r="AJ35" s="4">
        <v>30</v>
      </c>
      <c r="AK35" s="4">
        <v>31</v>
      </c>
      <c r="AL35" s="13"/>
      <c r="AM35" s="9"/>
      <c r="AN35" s="7"/>
    </row>
    <row r="36" spans="5:138"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7"/>
      <c r="AM36" s="10"/>
    </row>
    <row r="37" spans="5:138">
      <c r="AL37" s="7"/>
      <c r="AM37" s="10"/>
    </row>
    <row r="38" spans="5:138">
      <c r="E38" s="17" t="s">
        <v>22</v>
      </c>
      <c r="F38" s="4"/>
      <c r="G38" s="36">
        <v>0</v>
      </c>
      <c r="H38" s="37">
        <v>3.3333333333333335E-3</v>
      </c>
      <c r="I38" s="37">
        <v>6.6666666666666671E-3</v>
      </c>
      <c r="J38" s="37">
        <v>0.01</v>
      </c>
      <c r="K38" s="37">
        <v>1.3333333333333334E-2</v>
      </c>
      <c r="L38" s="37">
        <v>1.6666666666666666E-2</v>
      </c>
      <c r="M38" s="37">
        <v>0.02</v>
      </c>
      <c r="N38" s="37">
        <v>2.3333333333333334E-2</v>
      </c>
      <c r="O38" s="37">
        <v>2.6666666666666668E-2</v>
      </c>
      <c r="P38" s="37">
        <v>3.0000000000000002E-2</v>
      </c>
      <c r="Q38" s="37">
        <v>3.3333333333333333E-2</v>
      </c>
      <c r="R38" s="37">
        <v>3.6666666666666667E-2</v>
      </c>
      <c r="S38" s="37">
        <v>0.04</v>
      </c>
      <c r="T38" s="37">
        <v>4.3333333333333335E-2</v>
      </c>
      <c r="U38" s="37">
        <v>4.6666666666666669E-2</v>
      </c>
      <c r="V38" s="37">
        <v>0.05</v>
      </c>
      <c r="W38" s="37">
        <v>5.3333333333333337E-2</v>
      </c>
      <c r="X38" s="37">
        <v>5.6666666666666671E-2</v>
      </c>
      <c r="Y38" s="37">
        <v>6.0000000000000005E-2</v>
      </c>
      <c r="Z38" s="37">
        <v>6.3333333333333339E-2</v>
      </c>
      <c r="AA38" s="37">
        <v>6.6666666666666666E-2</v>
      </c>
      <c r="AB38" s="37">
        <v>7.0000000000000007E-2</v>
      </c>
      <c r="AC38" s="37">
        <v>7.3333333333333334E-2</v>
      </c>
      <c r="AD38" s="37">
        <v>7.6666666666666675E-2</v>
      </c>
      <c r="AE38" s="37">
        <v>0.08</v>
      </c>
      <c r="AF38" s="37">
        <v>8.3333333333333343E-2</v>
      </c>
      <c r="AG38" s="37">
        <v>8.666666666666667E-2</v>
      </c>
      <c r="AH38" s="37">
        <v>9.0000000000000011E-2</v>
      </c>
      <c r="AI38" s="37">
        <v>9.3333333333333338E-2</v>
      </c>
      <c r="AJ38" s="37">
        <v>9.6666666666666679E-2</v>
      </c>
      <c r="AK38" s="37">
        <v>0.1</v>
      </c>
      <c r="AL38" s="16" t="s">
        <v>23</v>
      </c>
      <c r="AM38" s="4"/>
      <c r="AN38" s="36">
        <v>0</v>
      </c>
      <c r="AO38" s="37">
        <v>3.3333333333333335E-3</v>
      </c>
      <c r="AP38" s="37">
        <v>6.6666666666666671E-3</v>
      </c>
      <c r="AQ38" s="37">
        <v>0.01</v>
      </c>
      <c r="AR38" s="37">
        <v>1.3333333333333334E-2</v>
      </c>
      <c r="AS38" s="37">
        <v>1.6666666666666666E-2</v>
      </c>
      <c r="AT38" s="37">
        <v>0.02</v>
      </c>
      <c r="AU38" s="37">
        <v>2.3333333333333334E-2</v>
      </c>
      <c r="AV38" s="37">
        <v>2.6666666666666668E-2</v>
      </c>
      <c r="AW38" s="37">
        <v>3.0000000000000002E-2</v>
      </c>
      <c r="AX38" s="37">
        <v>3.3333333333333333E-2</v>
      </c>
      <c r="AY38" s="37">
        <v>3.6666666666666667E-2</v>
      </c>
      <c r="AZ38" s="37">
        <v>0.04</v>
      </c>
      <c r="BA38" s="37">
        <v>4.3333333333333335E-2</v>
      </c>
      <c r="BB38" s="37">
        <v>4.6666666666666669E-2</v>
      </c>
      <c r="BC38" s="37">
        <v>0.05</v>
      </c>
      <c r="BD38" s="37">
        <v>5.3333333333333337E-2</v>
      </c>
      <c r="BE38" s="37">
        <v>5.6666666666666671E-2</v>
      </c>
      <c r="BF38" s="37">
        <v>6.0000000000000005E-2</v>
      </c>
      <c r="BG38" s="37">
        <v>6.3333333333333339E-2</v>
      </c>
      <c r="BH38" s="37">
        <v>6.6666666666666666E-2</v>
      </c>
      <c r="BI38" s="37">
        <v>7.0000000000000007E-2</v>
      </c>
      <c r="BJ38" s="37">
        <v>7.3333333333333334E-2</v>
      </c>
      <c r="BK38" s="37">
        <v>7.6666666666666675E-2</v>
      </c>
      <c r="BL38" s="37">
        <v>0.08</v>
      </c>
      <c r="BM38" s="37">
        <v>8.3333333333333343E-2</v>
      </c>
      <c r="BN38" s="37">
        <v>8.666666666666667E-2</v>
      </c>
      <c r="BO38" s="37">
        <v>9.0000000000000011E-2</v>
      </c>
      <c r="BP38" s="37">
        <v>9.3333333333333338E-2</v>
      </c>
      <c r="BQ38" s="37">
        <v>9.6666666666666679E-2</v>
      </c>
      <c r="BR38" s="37">
        <v>0.1</v>
      </c>
      <c r="BT38" s="16" t="s">
        <v>25</v>
      </c>
      <c r="BU38" s="4"/>
      <c r="BV38" s="36">
        <v>0</v>
      </c>
      <c r="BW38" s="37">
        <v>3.3333333333333335E-3</v>
      </c>
      <c r="BX38" s="37">
        <v>6.6666666666666671E-3</v>
      </c>
      <c r="BY38" s="37">
        <v>0.01</v>
      </c>
      <c r="BZ38" s="37">
        <v>1.3333333333333334E-2</v>
      </c>
      <c r="CA38" s="37">
        <v>1.6666666666666666E-2</v>
      </c>
      <c r="CB38" s="37">
        <v>0.02</v>
      </c>
      <c r="CC38" s="37">
        <v>2.3333333333333334E-2</v>
      </c>
      <c r="CD38" s="37">
        <v>2.6666666666666668E-2</v>
      </c>
      <c r="CE38" s="37">
        <v>3.0000000000000002E-2</v>
      </c>
      <c r="CF38" s="37">
        <v>3.3333333333333333E-2</v>
      </c>
      <c r="CG38" s="37">
        <v>3.6666666666666667E-2</v>
      </c>
      <c r="CH38" s="37">
        <v>0.04</v>
      </c>
      <c r="CI38" s="37">
        <v>4.3333333333333335E-2</v>
      </c>
      <c r="CJ38" s="37">
        <v>4.6666666666666669E-2</v>
      </c>
      <c r="CK38" s="37">
        <v>0.05</v>
      </c>
      <c r="CL38" s="37">
        <v>5.3333333333333337E-2</v>
      </c>
      <c r="CM38" s="37">
        <v>5.6666666666666671E-2</v>
      </c>
      <c r="CN38" s="37">
        <v>6.0000000000000005E-2</v>
      </c>
      <c r="CO38" s="37">
        <v>6.3333333333333339E-2</v>
      </c>
      <c r="CP38" s="37">
        <v>6.6666666666666666E-2</v>
      </c>
      <c r="CQ38" s="37">
        <v>7.0000000000000007E-2</v>
      </c>
      <c r="CR38" s="37">
        <v>7.3333333333333334E-2</v>
      </c>
      <c r="CS38" s="37">
        <v>7.6666666666666675E-2</v>
      </c>
      <c r="CT38" s="37">
        <v>0.08</v>
      </c>
      <c r="CU38" s="37">
        <v>8.3333333333333343E-2</v>
      </c>
      <c r="CV38" s="37">
        <v>8.666666666666667E-2</v>
      </c>
      <c r="CW38" s="37">
        <v>9.0000000000000011E-2</v>
      </c>
      <c r="CX38" s="37">
        <v>9.3333333333333338E-2</v>
      </c>
      <c r="CY38" s="37">
        <v>9.6666666666666679E-2</v>
      </c>
      <c r="CZ38" s="37">
        <v>0.1</v>
      </c>
      <c r="DB38" s="16" t="s">
        <v>24</v>
      </c>
      <c r="DC38" s="4"/>
      <c r="DD38" s="36">
        <v>0</v>
      </c>
      <c r="DE38" s="37">
        <v>3.3333333333333335E-3</v>
      </c>
      <c r="DF38" s="37">
        <v>6.6666666666666671E-3</v>
      </c>
      <c r="DG38" s="37">
        <v>0.01</v>
      </c>
      <c r="DH38" s="37">
        <v>1.3333333333333334E-2</v>
      </c>
      <c r="DI38" s="37">
        <v>1.6666666666666666E-2</v>
      </c>
      <c r="DJ38" s="37">
        <v>0.02</v>
      </c>
      <c r="DK38" s="37">
        <v>2.3333333333333334E-2</v>
      </c>
      <c r="DL38" s="37">
        <v>2.6666666666666668E-2</v>
      </c>
      <c r="DM38" s="37">
        <v>3.0000000000000002E-2</v>
      </c>
      <c r="DN38" s="37">
        <v>3.3333333333333333E-2</v>
      </c>
      <c r="DO38" s="37">
        <v>3.6666666666666667E-2</v>
      </c>
      <c r="DP38" s="37">
        <v>0.04</v>
      </c>
      <c r="DQ38" s="37">
        <v>4.3333333333333335E-2</v>
      </c>
      <c r="DR38" s="37">
        <v>4.6666666666666669E-2</v>
      </c>
      <c r="DS38" s="37">
        <v>0.05</v>
      </c>
      <c r="DT38" s="37">
        <v>5.3333333333333337E-2</v>
      </c>
      <c r="DU38" s="37">
        <v>5.6666666666666671E-2</v>
      </c>
      <c r="DV38" s="37">
        <v>6.0000000000000005E-2</v>
      </c>
      <c r="DW38" s="37">
        <v>6.3333333333333339E-2</v>
      </c>
      <c r="DX38" s="37">
        <v>6.6666666666666666E-2</v>
      </c>
      <c r="DY38" s="37">
        <v>7.0000000000000007E-2</v>
      </c>
      <c r="DZ38" s="37">
        <v>7.3333333333333334E-2</v>
      </c>
      <c r="EA38" s="37">
        <v>7.6666666666666675E-2</v>
      </c>
      <c r="EB38" s="37">
        <v>0.08</v>
      </c>
      <c r="EC38" s="37">
        <v>8.3333333333333343E-2</v>
      </c>
      <c r="ED38" s="37">
        <v>8.666666666666667E-2</v>
      </c>
      <c r="EE38" s="37">
        <v>9.0000000000000011E-2</v>
      </c>
      <c r="EF38" s="37">
        <v>9.3333333333333338E-2</v>
      </c>
      <c r="EG38" s="37">
        <v>9.6666666666666679E-2</v>
      </c>
      <c r="EH38" s="37">
        <v>0.1</v>
      </c>
    </row>
    <row r="39" spans="5:138">
      <c r="E39" s="18"/>
      <c r="F39" s="37">
        <v>0.1</v>
      </c>
      <c r="G39">
        <f>$B$16</f>
        <v>300</v>
      </c>
      <c r="H39">
        <f>BW39*I39+DE39</f>
        <v>289.38593600154053</v>
      </c>
      <c r="I39">
        <f t="shared" ref="I39:AI39" si="6">BX39*J39+DF39</f>
        <v>278.8153648530589</v>
      </c>
      <c r="J39">
        <f t="shared" si="6"/>
        <v>268.33129219841885</v>
      </c>
      <c r="K39">
        <f t="shared" si="6"/>
        <v>257.97575507539807</v>
      </c>
      <c r="L39">
        <f t="shared" si="6"/>
        <v>247.78935204382526</v>
      </c>
      <c r="M39">
        <f t="shared" si="6"/>
        <v>237.81079039726501</v>
      </c>
      <c r="N39">
        <f t="shared" si="6"/>
        <v>228.07645576842287</v>
      </c>
      <c r="O39">
        <f t="shared" si="6"/>
        <v>218.6200091196776</v>
      </c>
      <c r="P39">
        <f t="shared" si="6"/>
        <v>209.47201572462313</v>
      </c>
      <c r="Q39">
        <f t="shared" si="6"/>
        <v>200.65961030220848</v>
      </c>
      <c r="R39">
        <f t="shared" si="6"/>
        <v>192.20620197099819</v>
      </c>
      <c r="S39">
        <f t="shared" si="6"/>
        <v>184.13122215695722</v>
      </c>
      <c r="T39">
        <f t="shared" si="6"/>
        <v>176.44991802414302</v>
      </c>
      <c r="U39">
        <f t="shared" si="6"/>
        <v>169.17319341403325</v>
      </c>
      <c r="V39">
        <f t="shared" si="6"/>
        <v>162.30749868603735</v>
      </c>
      <c r="W39">
        <f t="shared" si="6"/>
        <v>155.85477025869542</v>
      </c>
      <c r="X39">
        <f t="shared" si="6"/>
        <v>149.81242006714524</v>
      </c>
      <c r="Y39">
        <f t="shared" si="6"/>
        <v>144.17337458572587</v>
      </c>
      <c r="Z39">
        <f t="shared" si="6"/>
        <v>138.92616252213378</v>
      </c>
      <c r="AA39">
        <f t="shared" si="6"/>
        <v>134.05504977723518</v>
      </c>
      <c r="AB39">
        <f t="shared" si="6"/>
        <v>129.54021978713746</v>
      </c>
      <c r="AC39">
        <f t="shared" si="6"/>
        <v>125.35799692487294</v>
      </c>
      <c r="AD39">
        <f t="shared" si="6"/>
        <v>121.48111024031033</v>
      </c>
      <c r="AE39">
        <f t="shared" si="6"/>
        <v>117.87899445985141</v>
      </c>
      <c r="AF39">
        <f t="shared" si="6"/>
        <v>114.51812485229161</v>
      </c>
      <c r="AG39">
        <f t="shared" si="6"/>
        <v>111.36238229332247</v>
      </c>
      <c r="AH39">
        <f t="shared" si="6"/>
        <v>108.37344462730428</v>
      </c>
      <c r="AI39">
        <f t="shared" si="6"/>
        <v>105.51120022948574</v>
      </c>
      <c r="AJ39">
        <f>CY39*AK39+EG39</f>
        <v>102.7341795129193</v>
      </c>
      <c r="AK39">
        <f>$B$17</f>
        <v>100</v>
      </c>
      <c r="AL39" s="16"/>
      <c r="AM39" s="37">
        <v>0.1</v>
      </c>
      <c r="AN39" s="6">
        <f>-($B$12*$B$11)/$B$8*G3</f>
        <v>-1076400000</v>
      </c>
      <c r="AO39" s="6">
        <f t="shared" ref="AO39:BR39" si="7">-($B$12*$B$11)/$B$8*H3</f>
        <v>-1038136677.9746189</v>
      </c>
      <c r="AP39" s="6">
        <f t="shared" si="7"/>
        <v>-1000031425.3282715</v>
      </c>
      <c r="AQ39" s="6">
        <f t="shared" si="7"/>
        <v>-962240539.30702293</v>
      </c>
      <c r="AR39" s="6">
        <f t="shared" si="7"/>
        <v>-924916794.0719341</v>
      </c>
      <c r="AS39" s="6">
        <f t="shared" si="7"/>
        <v>-888207731.79929316</v>
      </c>
      <c r="AT39" s="6">
        <f t="shared" si="7"/>
        <v>-852254016.09203327</v>
      </c>
      <c r="AU39" s="6">
        <f t="shared" si="7"/>
        <v>-817187867.05949998</v>
      </c>
      <c r="AV39" s="6">
        <f t="shared" si="7"/>
        <v>-783131596.25112343</v>
      </c>
      <c r="AW39" s="6">
        <f t="shared" si="7"/>
        <v>-750196258.21321893</v>
      </c>
      <c r="AX39" s="6">
        <f t="shared" si="7"/>
        <v>-718480433.8067379</v>
      </c>
      <c r="AY39" s="6">
        <f t="shared" si="7"/>
        <v>-688069158.61086047</v>
      </c>
      <c r="AZ39" s="6">
        <f t="shared" si="7"/>
        <v>-659033007.77888405</v>
      </c>
      <c r="BA39" s="6">
        <f t="shared" si="7"/>
        <v>-631427346.64662886</v>
      </c>
      <c r="BB39" s="6">
        <f t="shared" si="7"/>
        <v>-605291754.25759995</v>
      </c>
      <c r="BC39" s="6">
        <f t="shared" si="7"/>
        <v>-580649624.8007946</v>
      </c>
      <c r="BD39" s="6">
        <f t="shared" si="7"/>
        <v>-557507949.79202139</v>
      </c>
      <c r="BE39" s="6">
        <f t="shared" si="7"/>
        <v>-535857281.7009756</v>
      </c>
      <c r="BF39" s="6">
        <f t="shared" si="7"/>
        <v>-515671877.66377956</v>
      </c>
      <c r="BG39" s="6">
        <f t="shared" si="7"/>
        <v>-496910019.9500249</v>
      </c>
      <c r="BH39" s="6">
        <f t="shared" si="7"/>
        <v>-479514507.99584407</v>
      </c>
      <c r="BI39" s="6">
        <f t="shared" si="7"/>
        <v>-463413315.08701992</v>
      </c>
      <c r="BJ39" s="6">
        <f t="shared" si="7"/>
        <v>-448520401.19075841</v>
      </c>
      <c r="BK39" s="6">
        <f t="shared" si="7"/>
        <v>-434736671.99924439</v>
      </c>
      <c r="BL39" s="6">
        <f t="shared" si="7"/>
        <v>-421951072.96614468</v>
      </c>
      <c r="BM39" s="6">
        <f t="shared" si="7"/>
        <v>-410041805.98885709</v>
      </c>
      <c r="BN39" s="6">
        <f t="shared" si="7"/>
        <v>-398877655.41162437</v>
      </c>
      <c r="BO39" s="6">
        <f t="shared" si="7"/>
        <v>-388319409.1924212</v>
      </c>
      <c r="BP39" s="6">
        <f t="shared" si="7"/>
        <v>-378221360.38301134</v>
      </c>
      <c r="BQ39" s="6">
        <f t="shared" si="7"/>
        <v>-368432873.50925547</v>
      </c>
      <c r="BR39" s="6">
        <f t="shared" si="7"/>
        <v>-358800000</v>
      </c>
      <c r="BT39" s="16"/>
      <c r="BU39" s="37">
        <v>0.1</v>
      </c>
      <c r="BV39" s="2">
        <v>0</v>
      </c>
      <c r="BW39" s="2">
        <f>$B$20/($B$21-$B$22*BV39)</f>
        <v>0.34883720930232553</v>
      </c>
      <c r="BX39" s="2">
        <f t="shared" ref="BX39:CY39" si="8">$B$20/($B$21-$B$22*BW39)</f>
        <v>0.39716748768472904</v>
      </c>
      <c r="BY39" s="2">
        <f t="shared" si="8"/>
        <v>0.40494040593779607</v>
      </c>
      <c r="BZ39" s="2">
        <f t="shared" si="8"/>
        <v>0.4062190081621499</v>
      </c>
      <c r="CA39" s="2">
        <f t="shared" si="8"/>
        <v>0.40643010492156101</v>
      </c>
      <c r="CB39" s="2">
        <f t="shared" si="8"/>
        <v>0.40646497802255066</v>
      </c>
      <c r="CC39" s="2">
        <f t="shared" si="8"/>
        <v>0.40647073962099717</v>
      </c>
      <c r="CD39" s="2">
        <f t="shared" si="8"/>
        <v>0.40647169154566137</v>
      </c>
      <c r="CE39" s="2">
        <f t="shared" si="8"/>
        <v>0.40647184882198806</v>
      </c>
      <c r="CF39" s="2">
        <f t="shared" si="8"/>
        <v>0.40647187480708435</v>
      </c>
      <c r="CG39" s="2">
        <f t="shared" si="8"/>
        <v>0.40647187910032606</v>
      </c>
      <c r="CH39" s="2">
        <f t="shared" si="8"/>
        <v>0.40647187980965277</v>
      </c>
      <c r="CI39" s="2">
        <f t="shared" si="8"/>
        <v>0.4064718799268473</v>
      </c>
      <c r="CJ39" s="2">
        <f t="shared" si="8"/>
        <v>0.40647187994621015</v>
      </c>
      <c r="CK39" s="2">
        <f t="shared" si="8"/>
        <v>0.40647187994940925</v>
      </c>
      <c r="CL39" s="2">
        <f t="shared" si="8"/>
        <v>0.40647187994993778</v>
      </c>
      <c r="CM39" s="2">
        <f t="shared" si="8"/>
        <v>0.40647187995002515</v>
      </c>
      <c r="CN39" s="2">
        <f t="shared" si="8"/>
        <v>0.40647187995003953</v>
      </c>
      <c r="CO39" s="2">
        <f t="shared" si="8"/>
        <v>0.40647187995004191</v>
      </c>
      <c r="CP39" s="2">
        <f t="shared" si="8"/>
        <v>0.40647187995004236</v>
      </c>
      <c r="CQ39" s="2">
        <f t="shared" si="8"/>
        <v>0.40647187995004236</v>
      </c>
      <c r="CR39" s="2">
        <f t="shared" si="8"/>
        <v>0.40647187995004236</v>
      </c>
      <c r="CS39" s="2">
        <f t="shared" si="8"/>
        <v>0.40647187995004236</v>
      </c>
      <c r="CT39" s="2">
        <f t="shared" si="8"/>
        <v>0.40647187995004236</v>
      </c>
      <c r="CU39" s="2">
        <f t="shared" si="8"/>
        <v>0.40647187995004236</v>
      </c>
      <c r="CV39" s="2">
        <f t="shared" si="8"/>
        <v>0.40647187995004236</v>
      </c>
      <c r="CW39" s="2">
        <f t="shared" si="8"/>
        <v>0.40647187995004236</v>
      </c>
      <c r="CX39" s="2">
        <f t="shared" si="8"/>
        <v>0.40647187995004236</v>
      </c>
      <c r="CY39" s="2">
        <f t="shared" si="8"/>
        <v>0.40647187995004236</v>
      </c>
      <c r="CZ39" s="2">
        <f>$B$17</f>
        <v>100</v>
      </c>
      <c r="DB39" s="16"/>
      <c r="DC39" s="37">
        <v>0.1</v>
      </c>
      <c r="DD39" s="2">
        <f>G3</f>
        <v>300</v>
      </c>
      <c r="DE39" s="2">
        <f>(DD39*$B$22-AO39)/($B$21-$B$22*BV39)</f>
        <v>192.12476221558975</v>
      </c>
      <c r="DF39" s="2">
        <f t="shared" ref="DF39:EH39" si="9">(DE39*$B$22-AP39)/($B$21-$B$22*BW39)</f>
        <v>172.24289966341598</v>
      </c>
      <c r="DG39" s="2">
        <f t="shared" si="9"/>
        <v>163.86648521607771</v>
      </c>
      <c r="DH39" s="2">
        <f t="shared" si="9"/>
        <v>157.31901025501361</v>
      </c>
      <c r="DI39" s="2">
        <f t="shared" si="9"/>
        <v>151.1358875511855</v>
      </c>
      <c r="DJ39" s="2">
        <f t="shared" si="9"/>
        <v>145.10569881589174</v>
      </c>
      <c r="DK39" s="2">
        <f t="shared" si="9"/>
        <v>139.21381896559836</v>
      </c>
      <c r="DL39" s="2">
        <f t="shared" si="9"/>
        <v>133.47556455661066</v>
      </c>
      <c r="DM39" s="2">
        <f t="shared" si="9"/>
        <v>127.90953294118482</v>
      </c>
      <c r="DN39" s="2">
        <f t="shared" si="9"/>
        <v>122.53319503750771</v>
      </c>
      <c r="DO39" s="2">
        <f t="shared" si="9"/>
        <v>117.3620380998202</v>
      </c>
      <c r="DP39" s="2">
        <f t="shared" si="9"/>
        <v>112.4092922854247</v>
      </c>
      <c r="DQ39" s="2">
        <f t="shared" si="9"/>
        <v>107.68577206391278</v>
      </c>
      <c r="DR39" s="2">
        <f t="shared" si="9"/>
        <v>103.19975929375262</v>
      </c>
      <c r="DS39" s="2">
        <f t="shared" si="9"/>
        <v>98.956917219902152</v>
      </c>
      <c r="DT39" s="2">
        <f t="shared" si="9"/>
        <v>94.96023423415312</v>
      </c>
      <c r="DU39" s="2">
        <f t="shared" si="9"/>
        <v>91.209997460546063</v>
      </c>
      <c r="DV39" s="2">
        <f t="shared" si="9"/>
        <v>87.703796131109428</v>
      </c>
      <c r="DW39" s="2">
        <f t="shared" si="9"/>
        <v>84.436554422384546</v>
      </c>
      <c r="DX39" s="2">
        <f t="shared" si="9"/>
        <v>81.400593111215741</v>
      </c>
      <c r="DY39" s="2">
        <f t="shared" si="9"/>
        <v>78.585719110312724</v>
      </c>
      <c r="DZ39" s="2">
        <f t="shared" si="9"/>
        <v>75.979341667075659</v>
      </c>
      <c r="EA39" s="2">
        <f t="shared" si="9"/>
        <v>73.566613755593892</v>
      </c>
      <c r="EB39" s="2">
        <f t="shared" si="9"/>
        <v>71.330596962786771</v>
      </c>
      <c r="EC39" s="2">
        <f t="shared" si="9"/>
        <v>69.252447965809509</v>
      </c>
      <c r="ED39" s="2">
        <f t="shared" si="9"/>
        <v>67.31162451900029</v>
      </c>
      <c r="EE39" s="2">
        <f t="shared" si="9"/>
        <v>65.486108714239862</v>
      </c>
      <c r="EF39" s="2">
        <f t="shared" si="9"/>
        <v>63.752645147744303</v>
      </c>
      <c r="EG39" s="2">
        <f t="shared" si="9"/>
        <v>62.086991517915067</v>
      </c>
      <c r="EH39" s="2">
        <f t="shared" si="9"/>
        <v>60.464179091732959</v>
      </c>
    </row>
    <row r="40" spans="5:138">
      <c r="E40" s="18"/>
      <c r="F40" s="37">
        <v>9.6666666666666679E-2</v>
      </c>
      <c r="G40">
        <f t="shared" ref="G40:G69" si="10">$B$16</f>
        <v>300</v>
      </c>
      <c r="H40">
        <f t="shared" ref="H40:H69" si="11">BW40*I40+DE40</f>
        <v>289.38593600154053</v>
      </c>
      <c r="I40">
        <f t="shared" ref="I40:I69" si="12">BX40*J40+DF40</f>
        <v>278.8153648530589</v>
      </c>
      <c r="J40">
        <f t="shared" ref="J40:J69" si="13">BY40*K40+DG40</f>
        <v>268.33129219841885</v>
      </c>
      <c r="K40">
        <f t="shared" ref="K40:K69" si="14">BZ40*L40+DH40</f>
        <v>257.97575507539807</v>
      </c>
      <c r="L40">
        <f t="shared" ref="L40:L69" si="15">CA40*M40+DI40</f>
        <v>247.78935204382526</v>
      </c>
      <c r="M40">
        <f t="shared" ref="M40:M69" si="16">CB40*N40+DJ40</f>
        <v>237.81079039726501</v>
      </c>
      <c r="N40">
        <f t="shared" ref="N40:N69" si="17">CC40*O40+DK40</f>
        <v>228.07645576842287</v>
      </c>
      <c r="O40">
        <f t="shared" ref="O40:O69" si="18">CD40*P40+DL40</f>
        <v>218.6200091196776</v>
      </c>
      <c r="P40">
        <f t="shared" ref="P40:P69" si="19">CE40*Q40+DM40</f>
        <v>209.47201572462313</v>
      </c>
      <c r="Q40">
        <f t="shared" ref="Q40:Q69" si="20">CF40*R40+DN40</f>
        <v>200.65961030220848</v>
      </c>
      <c r="R40">
        <f t="shared" ref="R40:R69" si="21">CG40*S40+DO40</f>
        <v>192.20620197099819</v>
      </c>
      <c r="S40">
        <f t="shared" ref="S40:S69" si="22">CH40*T40+DP40</f>
        <v>184.13122215695722</v>
      </c>
      <c r="T40">
        <f t="shared" ref="T40:T69" si="23">CI40*U40+DQ40</f>
        <v>176.44991802414302</v>
      </c>
      <c r="U40">
        <f t="shared" ref="U40:U69" si="24">CJ40*V40+DR40</f>
        <v>169.17319341403328</v>
      </c>
      <c r="V40">
        <f t="shared" ref="V40:V69" si="25">CK40*W40+DS40</f>
        <v>162.30749868603738</v>
      </c>
      <c r="W40">
        <f t="shared" ref="W40:W69" si="26">CL40*X40+DT40</f>
        <v>155.85477025869542</v>
      </c>
      <c r="X40">
        <f t="shared" ref="X40:X69" si="27">CM40*Y40+DU40</f>
        <v>149.81242006714524</v>
      </c>
      <c r="Y40">
        <f t="shared" ref="Y40:Y69" si="28">CN40*Z40+DV40</f>
        <v>144.17337458572587</v>
      </c>
      <c r="Z40">
        <f t="shared" ref="Z40:Z69" si="29">CO40*AA40+DW40</f>
        <v>138.92616252213378</v>
      </c>
      <c r="AA40">
        <f t="shared" ref="AA40:AA69" si="30">CP40*AB40+DX40</f>
        <v>134.05504977723518</v>
      </c>
      <c r="AB40">
        <f t="shared" ref="AB40:AB69" si="31">CQ40*AC40+DY40</f>
        <v>129.54021978713746</v>
      </c>
      <c r="AC40">
        <f t="shared" ref="AC40:AC69" si="32">CR40*AD40+DZ40</f>
        <v>125.35799692487294</v>
      </c>
      <c r="AD40">
        <f t="shared" ref="AD40:AD69" si="33">CS40*AE40+EA40</f>
        <v>121.48111024031033</v>
      </c>
      <c r="AE40">
        <f t="shared" ref="AE40:AE69" si="34">CT40*AF40+EB40</f>
        <v>117.87899445985141</v>
      </c>
      <c r="AF40">
        <f t="shared" ref="AF40:AF69" si="35">CU40*AG40+EC40</f>
        <v>114.51812485229161</v>
      </c>
      <c r="AG40">
        <f t="shared" ref="AG40:AG69" si="36">CV40*AH40+ED40</f>
        <v>111.36238229332247</v>
      </c>
      <c r="AH40">
        <f t="shared" ref="AH40:AH69" si="37">CW40*AI40+EE40</f>
        <v>108.37344462730428</v>
      </c>
      <c r="AI40">
        <f t="shared" ref="AI40:AJ55" si="38">CX40*AJ40+EF40</f>
        <v>105.51120022948574</v>
      </c>
      <c r="AJ40">
        <f t="shared" si="38"/>
        <v>102.7341795129193</v>
      </c>
      <c r="AK40">
        <f t="shared" ref="AK40:AK69" si="39">$B$17</f>
        <v>100</v>
      </c>
      <c r="AL40" s="16"/>
      <c r="AM40" s="37">
        <v>9.6666666666666679E-2</v>
      </c>
      <c r="AN40" s="6">
        <f t="shared" ref="AN40:AN69" si="40">-($B$12*$B$11)/$B$8*G4</f>
        <v>-1076400000</v>
      </c>
      <c r="AO40" s="6">
        <f>-($B$12*$B$11)/$B$8*H4</f>
        <v>-1038136677.9746189</v>
      </c>
      <c r="AP40" s="6">
        <f t="shared" ref="AP40:AP69" si="41">-($B$12*$B$11)/$B$8*I4</f>
        <v>-1000031425.3282715</v>
      </c>
      <c r="AQ40" s="6">
        <f t="shared" ref="AQ40:AQ69" si="42">-($B$12*$B$11)/$B$8*J4</f>
        <v>-962240539.30702293</v>
      </c>
      <c r="AR40" s="6">
        <f t="shared" ref="AR40:AR69" si="43">-($B$12*$B$11)/$B$8*K4</f>
        <v>-924916794.0719341</v>
      </c>
      <c r="AS40" s="6">
        <f t="shared" ref="AS40:AS69" si="44">-($B$12*$B$11)/$B$8*L4</f>
        <v>-888207731.79929316</v>
      </c>
      <c r="AT40" s="6">
        <f t="shared" ref="AT40:AT69" si="45">-($B$12*$B$11)/$B$8*M4</f>
        <v>-852254016.09203327</v>
      </c>
      <c r="AU40" s="6">
        <f t="shared" ref="AU40:AU69" si="46">-($B$12*$B$11)/$B$8*N4</f>
        <v>-817187867.0595001</v>
      </c>
      <c r="AV40" s="6">
        <f t="shared" ref="AV40:AV69" si="47">-($B$12*$B$11)/$B$8*O4</f>
        <v>-783131596.25112343</v>
      </c>
      <c r="AW40" s="6">
        <f t="shared" ref="AW40:AW69" si="48">-($B$12*$B$11)/$B$8*P4</f>
        <v>-750196258.21321893</v>
      </c>
      <c r="AX40" s="6">
        <f t="shared" ref="AX40:AX69" si="49">-($B$12*$B$11)/$B$8*Q4</f>
        <v>-718480433.8067379</v>
      </c>
      <c r="AY40" s="6">
        <f t="shared" ref="AY40:AY69" si="50">-($B$12*$B$11)/$B$8*R4</f>
        <v>-688069158.61086047</v>
      </c>
      <c r="AZ40" s="6">
        <f t="shared" ref="AZ40:AZ69" si="51">-($B$12*$B$11)/$B$8*S4</f>
        <v>-659033007.77888405</v>
      </c>
      <c r="BA40" s="6">
        <f t="shared" ref="BA40:BA69" si="52">-($B$12*$B$11)/$B$8*T4</f>
        <v>-631427346.64662886</v>
      </c>
      <c r="BB40" s="6">
        <f t="shared" ref="BB40:BB69" si="53">-($B$12*$B$11)/$B$8*U4</f>
        <v>-605291754.25759995</v>
      </c>
      <c r="BC40" s="6">
        <f t="shared" ref="BC40:BC69" si="54">-($B$12*$B$11)/$B$8*V4</f>
        <v>-580649624.80079472</v>
      </c>
      <c r="BD40" s="6">
        <f t="shared" ref="BD40:BD69" si="55">-($B$12*$B$11)/$B$8*W4</f>
        <v>-557507949.79202139</v>
      </c>
      <c r="BE40" s="6">
        <f t="shared" ref="BE40:BE69" si="56">-($B$12*$B$11)/$B$8*X4</f>
        <v>-535857281.7009756</v>
      </c>
      <c r="BF40" s="6">
        <f t="shared" ref="BF40:BF69" si="57">-($B$12*$B$11)/$B$8*Y4</f>
        <v>-515671877.66377956</v>
      </c>
      <c r="BG40" s="6">
        <f t="shared" ref="BG40:BG69" si="58">-($B$12*$B$11)/$B$8*Z4</f>
        <v>-496910019.9500249</v>
      </c>
      <c r="BH40" s="6">
        <f t="shared" ref="BH40:BH69" si="59">-($B$12*$B$11)/$B$8*AA4</f>
        <v>-479514507.99584407</v>
      </c>
      <c r="BI40" s="6">
        <f t="shared" ref="BI40:BI69" si="60">-($B$12*$B$11)/$B$8*AB4</f>
        <v>-463413315.08701992</v>
      </c>
      <c r="BJ40" s="6">
        <f t="shared" ref="BJ40:BJ69" si="61">-($B$12*$B$11)/$B$8*AC4</f>
        <v>-448520401.19075841</v>
      </c>
      <c r="BK40" s="6">
        <f t="shared" ref="BK40:BK69" si="62">-($B$12*$B$11)/$B$8*AD4</f>
        <v>-434736671.99924439</v>
      </c>
      <c r="BL40" s="6">
        <f t="shared" ref="BL40:BL69" si="63">-($B$12*$B$11)/$B$8*AE4</f>
        <v>-421951072.96614468</v>
      </c>
      <c r="BM40" s="6">
        <f t="shared" ref="BM40:BM69" si="64">-($B$12*$B$11)/$B$8*AF4</f>
        <v>-410041805.98885709</v>
      </c>
      <c r="BN40" s="6">
        <f t="shared" ref="BN40:BN69" si="65">-($B$12*$B$11)/$B$8*AG4</f>
        <v>-398877655.41162437</v>
      </c>
      <c r="BO40" s="6">
        <f t="shared" ref="BO40:BO69" si="66">-($B$12*$B$11)/$B$8*AH4</f>
        <v>-388319409.1924212</v>
      </c>
      <c r="BP40" s="6">
        <f t="shared" ref="BP40:BP69" si="67">-($B$12*$B$11)/$B$8*AI4</f>
        <v>-378221360.38301134</v>
      </c>
      <c r="BQ40" s="6">
        <f t="shared" ref="BQ40:BQ69" si="68">-($B$12*$B$11)/$B$8*AJ4</f>
        <v>-368432873.50925547</v>
      </c>
      <c r="BR40" s="6">
        <f t="shared" ref="BR40:BR69" si="69">-($B$12*$B$11)/$B$8*AK4</f>
        <v>-358800000</v>
      </c>
      <c r="BT40" s="16"/>
      <c r="BU40" s="37">
        <v>9.6666666666666679E-2</v>
      </c>
      <c r="BV40" s="2">
        <v>0</v>
      </c>
      <c r="BW40" s="2">
        <f t="shared" ref="BW40:CY40" si="70">$B$20/($B$21-$B$22*BV40)</f>
        <v>0.34883720930232553</v>
      </c>
      <c r="BX40" s="2">
        <f t="shared" si="70"/>
        <v>0.39716748768472904</v>
      </c>
      <c r="BY40" s="2">
        <f t="shared" si="70"/>
        <v>0.40494040593779607</v>
      </c>
      <c r="BZ40" s="2">
        <f t="shared" si="70"/>
        <v>0.4062190081621499</v>
      </c>
      <c r="CA40" s="2">
        <f t="shared" si="70"/>
        <v>0.40643010492156101</v>
      </c>
      <c r="CB40" s="2">
        <f t="shared" si="70"/>
        <v>0.40646497802255066</v>
      </c>
      <c r="CC40" s="2">
        <f t="shared" si="70"/>
        <v>0.40647073962099717</v>
      </c>
      <c r="CD40" s="2">
        <f t="shared" si="70"/>
        <v>0.40647169154566137</v>
      </c>
      <c r="CE40" s="2">
        <f t="shared" si="70"/>
        <v>0.40647184882198806</v>
      </c>
      <c r="CF40" s="2">
        <f t="shared" si="70"/>
        <v>0.40647187480708435</v>
      </c>
      <c r="CG40" s="2">
        <f t="shared" si="70"/>
        <v>0.40647187910032606</v>
      </c>
      <c r="CH40" s="2">
        <f t="shared" si="70"/>
        <v>0.40647187980965277</v>
      </c>
      <c r="CI40" s="2">
        <f t="shared" si="70"/>
        <v>0.4064718799268473</v>
      </c>
      <c r="CJ40" s="2">
        <f t="shared" si="70"/>
        <v>0.40647187994621015</v>
      </c>
      <c r="CK40" s="2">
        <f t="shared" si="70"/>
        <v>0.40647187994940925</v>
      </c>
      <c r="CL40" s="2">
        <f t="shared" si="70"/>
        <v>0.40647187994993778</v>
      </c>
      <c r="CM40" s="2">
        <f t="shared" si="70"/>
        <v>0.40647187995002515</v>
      </c>
      <c r="CN40" s="2">
        <f t="shared" si="70"/>
        <v>0.40647187995003953</v>
      </c>
      <c r="CO40" s="2">
        <f t="shared" si="70"/>
        <v>0.40647187995004191</v>
      </c>
      <c r="CP40" s="2">
        <f t="shared" si="70"/>
        <v>0.40647187995004236</v>
      </c>
      <c r="CQ40" s="2">
        <f t="shared" si="70"/>
        <v>0.40647187995004236</v>
      </c>
      <c r="CR40" s="2">
        <f t="shared" si="70"/>
        <v>0.40647187995004236</v>
      </c>
      <c r="CS40" s="2">
        <f t="shared" si="70"/>
        <v>0.40647187995004236</v>
      </c>
      <c r="CT40" s="2">
        <f t="shared" si="70"/>
        <v>0.40647187995004236</v>
      </c>
      <c r="CU40" s="2">
        <f t="shared" si="70"/>
        <v>0.40647187995004236</v>
      </c>
      <c r="CV40" s="2">
        <f t="shared" si="70"/>
        <v>0.40647187995004236</v>
      </c>
      <c r="CW40" s="2">
        <f t="shared" si="70"/>
        <v>0.40647187995004236</v>
      </c>
      <c r="CX40" s="2">
        <f t="shared" si="70"/>
        <v>0.40647187995004236</v>
      </c>
      <c r="CY40" s="2">
        <f t="shared" si="70"/>
        <v>0.40647187995004236</v>
      </c>
      <c r="CZ40" s="2">
        <f t="shared" ref="CZ40:CZ69" si="71">$B$17</f>
        <v>100</v>
      </c>
      <c r="DB40" s="16"/>
      <c r="DC40" s="37">
        <v>9.6666666666666679E-2</v>
      </c>
      <c r="DD40" s="2">
        <f t="shared" ref="DD40:DD69" si="72">G4</f>
        <v>300</v>
      </c>
      <c r="DE40" s="2">
        <f t="shared" ref="DE40:DE69" si="73">(DD40*$B$22-AO40)/($B$21-$B$22*BV40)</f>
        <v>192.12476221558975</v>
      </c>
      <c r="DF40" s="2">
        <f t="shared" ref="DF40:DF69" si="74">(DE40*$B$22-AP40)/($B$21-$B$22*BW40)</f>
        <v>172.24289966341598</v>
      </c>
      <c r="DG40" s="2">
        <f t="shared" ref="DG40:DG69" si="75">(DF40*$B$22-AQ40)/($B$21-$B$22*BX40)</f>
        <v>163.86648521607771</v>
      </c>
      <c r="DH40" s="2">
        <f t="shared" ref="DH40:DH69" si="76">(DG40*$B$22-AR40)/($B$21-$B$22*BY40)</f>
        <v>157.31901025501361</v>
      </c>
      <c r="DI40" s="2">
        <f t="shared" ref="DI40:DI69" si="77">(DH40*$B$22-AS40)/($B$21-$B$22*BZ40)</f>
        <v>151.1358875511855</v>
      </c>
      <c r="DJ40" s="2">
        <f t="shared" ref="DJ40:DJ69" si="78">(DI40*$B$22-AT40)/($B$21-$B$22*CA40)</f>
        <v>145.10569881589174</v>
      </c>
      <c r="DK40" s="2">
        <f t="shared" ref="DK40:DK69" si="79">(DJ40*$B$22-AU40)/($B$21-$B$22*CB40)</f>
        <v>139.21381896559839</v>
      </c>
      <c r="DL40" s="2">
        <f t="shared" ref="DL40:DL69" si="80">(DK40*$B$22-AV40)/($B$21-$B$22*CC40)</f>
        <v>133.47556455661066</v>
      </c>
      <c r="DM40" s="2">
        <f t="shared" ref="DM40:DM69" si="81">(DL40*$B$22-AW40)/($B$21-$B$22*CD40)</f>
        <v>127.90953294118482</v>
      </c>
      <c r="DN40" s="2">
        <f t="shared" ref="DN40:DN69" si="82">(DM40*$B$22-AX40)/($B$21-$B$22*CE40)</f>
        <v>122.53319503750771</v>
      </c>
      <c r="DO40" s="2">
        <f t="shared" ref="DO40:DO69" si="83">(DN40*$B$22-AY40)/($B$21-$B$22*CF40)</f>
        <v>117.3620380998202</v>
      </c>
      <c r="DP40" s="2">
        <f t="shared" ref="DP40:DP69" si="84">(DO40*$B$22-AZ40)/($B$21-$B$22*CG40)</f>
        <v>112.4092922854247</v>
      </c>
      <c r="DQ40" s="2">
        <f t="shared" ref="DQ40:DQ69" si="85">(DP40*$B$22-BA40)/($B$21-$B$22*CH40)</f>
        <v>107.68577206391278</v>
      </c>
      <c r="DR40" s="2">
        <f t="shared" ref="DR40:DR69" si="86">(DQ40*$B$22-BB40)/($B$21-$B$22*CI40)</f>
        <v>103.19975929375262</v>
      </c>
      <c r="DS40" s="2">
        <f t="shared" ref="DS40:DS69" si="87">(DR40*$B$22-BC40)/($B$21-$B$22*CJ40)</f>
        <v>98.956917219902166</v>
      </c>
      <c r="DT40" s="2">
        <f t="shared" ref="DT40:DT69" si="88">(DS40*$B$22-BD40)/($B$21-$B$22*CK40)</f>
        <v>94.96023423415312</v>
      </c>
      <c r="DU40" s="2">
        <f t="shared" ref="DU40:DU69" si="89">(DT40*$B$22-BE40)/($B$21-$B$22*CL40)</f>
        <v>91.209997460546063</v>
      </c>
      <c r="DV40" s="2">
        <f t="shared" ref="DV40:DV69" si="90">(DU40*$B$22-BF40)/($B$21-$B$22*CM40)</f>
        <v>87.703796131109428</v>
      </c>
      <c r="DW40" s="2">
        <f t="shared" ref="DW40:DW69" si="91">(DV40*$B$22-BG40)/($B$21-$B$22*CN40)</f>
        <v>84.436554422384546</v>
      </c>
      <c r="DX40" s="2">
        <f t="shared" ref="DX40:DX69" si="92">(DW40*$B$22-BH40)/($B$21-$B$22*CO40)</f>
        <v>81.400593111215741</v>
      </c>
      <c r="DY40" s="2">
        <f t="shared" ref="DY40:DY69" si="93">(DX40*$B$22-BI40)/($B$21-$B$22*CP40)</f>
        <v>78.585719110312724</v>
      </c>
      <c r="DZ40" s="2">
        <f t="shared" ref="DZ40:DZ69" si="94">(DY40*$B$22-BJ40)/($B$21-$B$22*CQ40)</f>
        <v>75.979341667075659</v>
      </c>
      <c r="EA40" s="2">
        <f t="shared" ref="EA40:EA69" si="95">(DZ40*$B$22-BK40)/($B$21-$B$22*CR40)</f>
        <v>73.566613755593892</v>
      </c>
      <c r="EB40" s="2">
        <f t="shared" ref="EB40:EB69" si="96">(EA40*$B$22-BL40)/($B$21-$B$22*CS40)</f>
        <v>71.330596962786771</v>
      </c>
      <c r="EC40" s="2">
        <f t="shared" ref="EC40:EC69" si="97">(EB40*$B$22-BM40)/($B$21-$B$22*CT40)</f>
        <v>69.252447965809509</v>
      </c>
      <c r="ED40" s="2">
        <f t="shared" ref="ED40:ED69" si="98">(EC40*$B$22-BN40)/($B$21-$B$22*CU40)</f>
        <v>67.31162451900029</v>
      </c>
      <c r="EE40" s="2">
        <f t="shared" ref="EE40:EE69" si="99">(ED40*$B$22-BO40)/($B$21-$B$22*CV40)</f>
        <v>65.486108714239862</v>
      </c>
      <c r="EF40" s="2">
        <f t="shared" ref="EF40:EF69" si="100">(EE40*$B$22-BP40)/($B$21-$B$22*CW40)</f>
        <v>63.752645147744303</v>
      </c>
      <c r="EG40" s="2">
        <f t="shared" ref="EG40:EG69" si="101">(EF40*$B$22-BQ40)/($B$21-$B$22*CX40)</f>
        <v>62.086991517915067</v>
      </c>
      <c r="EH40" s="2">
        <f t="shared" ref="EH40:EH69" si="102">(EG40*$B$22-BR40)/($B$21-$B$22*CY40)</f>
        <v>60.464179091732959</v>
      </c>
    </row>
    <row r="41" spans="5:138">
      <c r="E41" s="18"/>
      <c r="F41" s="37">
        <v>9.3333333333333338E-2</v>
      </c>
      <c r="G41">
        <f t="shared" si="10"/>
        <v>300</v>
      </c>
      <c r="H41">
        <f t="shared" si="11"/>
        <v>289.38593600154053</v>
      </c>
      <c r="I41">
        <f t="shared" si="12"/>
        <v>278.8153648530589</v>
      </c>
      <c r="J41">
        <f t="shared" si="13"/>
        <v>268.33129219841885</v>
      </c>
      <c r="K41">
        <f t="shared" si="14"/>
        <v>257.97575507539807</v>
      </c>
      <c r="L41">
        <f t="shared" si="15"/>
        <v>247.78935204382526</v>
      </c>
      <c r="M41">
        <f t="shared" si="16"/>
        <v>237.81079039726501</v>
      </c>
      <c r="N41">
        <f t="shared" si="17"/>
        <v>228.07645576842287</v>
      </c>
      <c r="O41">
        <f t="shared" si="18"/>
        <v>218.6200091196776</v>
      </c>
      <c r="P41">
        <f t="shared" si="19"/>
        <v>209.47201572462313</v>
      </c>
      <c r="Q41">
        <f t="shared" si="20"/>
        <v>200.65961030220848</v>
      </c>
      <c r="R41">
        <f t="shared" si="21"/>
        <v>192.20620197099819</v>
      </c>
      <c r="S41">
        <f t="shared" si="22"/>
        <v>184.13122215695722</v>
      </c>
      <c r="T41">
        <f t="shared" si="23"/>
        <v>176.44991802414302</v>
      </c>
      <c r="U41">
        <f t="shared" si="24"/>
        <v>169.17319341403328</v>
      </c>
      <c r="V41">
        <f t="shared" si="25"/>
        <v>162.30749868603738</v>
      </c>
      <c r="W41">
        <f t="shared" si="26"/>
        <v>155.85477025869542</v>
      </c>
      <c r="X41">
        <f t="shared" si="27"/>
        <v>149.81242006714524</v>
      </c>
      <c r="Y41">
        <f t="shared" si="28"/>
        <v>144.17337458572587</v>
      </c>
      <c r="Z41">
        <f t="shared" si="29"/>
        <v>138.92616252213378</v>
      </c>
      <c r="AA41">
        <f t="shared" si="30"/>
        <v>134.05504977723518</v>
      </c>
      <c r="AB41">
        <f t="shared" si="31"/>
        <v>129.54021978713746</v>
      </c>
      <c r="AC41">
        <f t="shared" si="32"/>
        <v>125.35799692487294</v>
      </c>
      <c r="AD41">
        <f t="shared" si="33"/>
        <v>121.48111024031033</v>
      </c>
      <c r="AE41">
        <f t="shared" si="34"/>
        <v>117.87899445985141</v>
      </c>
      <c r="AF41">
        <f t="shared" si="35"/>
        <v>114.51812485229161</v>
      </c>
      <c r="AG41">
        <f t="shared" si="36"/>
        <v>111.36238229332247</v>
      </c>
      <c r="AH41">
        <f t="shared" si="37"/>
        <v>108.37344462730428</v>
      </c>
      <c r="AI41">
        <f t="shared" si="38"/>
        <v>105.51120022948574</v>
      </c>
      <c r="AJ41">
        <f t="shared" ref="AJ41:AJ69" si="103">CY41*AK41+EG41</f>
        <v>102.7341795129193</v>
      </c>
      <c r="AK41">
        <f t="shared" si="39"/>
        <v>100</v>
      </c>
      <c r="AL41" s="16"/>
      <c r="AM41" s="37">
        <v>9.3333333333333338E-2</v>
      </c>
      <c r="AN41" s="6">
        <f t="shared" si="40"/>
        <v>-1076400000</v>
      </c>
      <c r="AO41" s="6">
        <f t="shared" ref="AO41:AO69" si="104">-($B$12*$B$11)/$B$8*H5</f>
        <v>-1038136677.9746189</v>
      </c>
      <c r="AP41" s="6">
        <f t="shared" si="41"/>
        <v>-1000031425.3282715</v>
      </c>
      <c r="AQ41" s="6">
        <f t="shared" si="42"/>
        <v>-962240539.30702293</v>
      </c>
      <c r="AR41" s="6">
        <f t="shared" si="43"/>
        <v>-924916794.0719341</v>
      </c>
      <c r="AS41" s="6">
        <f t="shared" si="44"/>
        <v>-888207731.79929316</v>
      </c>
      <c r="AT41" s="6">
        <f t="shared" si="45"/>
        <v>-852254016.09203327</v>
      </c>
      <c r="AU41" s="6">
        <f t="shared" si="46"/>
        <v>-817187867.0595001</v>
      </c>
      <c r="AV41" s="6">
        <f t="shared" si="47"/>
        <v>-783131596.25112343</v>
      </c>
      <c r="AW41" s="6">
        <f t="shared" si="48"/>
        <v>-750196258.21321893</v>
      </c>
      <c r="AX41" s="6">
        <f t="shared" si="49"/>
        <v>-718480433.8067379</v>
      </c>
      <c r="AY41" s="6">
        <f t="shared" si="50"/>
        <v>-688069158.61086047</v>
      </c>
      <c r="AZ41" s="6">
        <f t="shared" si="51"/>
        <v>-659033007.77888405</v>
      </c>
      <c r="BA41" s="6">
        <f t="shared" si="52"/>
        <v>-631427346.64662886</v>
      </c>
      <c r="BB41" s="6">
        <f t="shared" si="53"/>
        <v>-605291754.25759995</v>
      </c>
      <c r="BC41" s="6">
        <f t="shared" si="54"/>
        <v>-580649624.80079472</v>
      </c>
      <c r="BD41" s="6">
        <f t="shared" si="55"/>
        <v>-557507949.79202139</v>
      </c>
      <c r="BE41" s="6">
        <f t="shared" si="56"/>
        <v>-535857281.7009756</v>
      </c>
      <c r="BF41" s="6">
        <f t="shared" si="57"/>
        <v>-515671877.66377956</v>
      </c>
      <c r="BG41" s="6">
        <f t="shared" si="58"/>
        <v>-496910019.9500249</v>
      </c>
      <c r="BH41" s="6">
        <f t="shared" si="59"/>
        <v>-479514507.99584407</v>
      </c>
      <c r="BI41" s="6">
        <f t="shared" si="60"/>
        <v>-463413315.08701992</v>
      </c>
      <c r="BJ41" s="6">
        <f t="shared" si="61"/>
        <v>-448520401.19075841</v>
      </c>
      <c r="BK41" s="6">
        <f t="shared" si="62"/>
        <v>-434736671.99924439</v>
      </c>
      <c r="BL41" s="6">
        <f t="shared" si="63"/>
        <v>-421951072.96614468</v>
      </c>
      <c r="BM41" s="6">
        <f t="shared" si="64"/>
        <v>-410041805.98885709</v>
      </c>
      <c r="BN41" s="6">
        <f t="shared" si="65"/>
        <v>-398877655.41162437</v>
      </c>
      <c r="BO41" s="6">
        <f t="shared" si="66"/>
        <v>-388319409.1924212</v>
      </c>
      <c r="BP41" s="6">
        <f t="shared" si="67"/>
        <v>-378221360.38301134</v>
      </c>
      <c r="BQ41" s="6">
        <f t="shared" si="68"/>
        <v>-368432873.50925547</v>
      </c>
      <c r="BR41" s="6">
        <f t="shared" si="69"/>
        <v>-358800000</v>
      </c>
      <c r="BT41" s="16"/>
      <c r="BU41" s="37">
        <v>9.3333333333333338E-2</v>
      </c>
      <c r="BV41" s="2">
        <v>0</v>
      </c>
      <c r="BW41" s="2">
        <f t="shared" ref="BW41:CY41" si="105">$B$20/($B$21-$B$22*BV41)</f>
        <v>0.34883720930232553</v>
      </c>
      <c r="BX41" s="2">
        <f t="shared" si="105"/>
        <v>0.39716748768472904</v>
      </c>
      <c r="BY41" s="2">
        <f t="shared" si="105"/>
        <v>0.40494040593779607</v>
      </c>
      <c r="BZ41" s="2">
        <f t="shared" si="105"/>
        <v>0.4062190081621499</v>
      </c>
      <c r="CA41" s="2">
        <f t="shared" si="105"/>
        <v>0.40643010492156101</v>
      </c>
      <c r="CB41" s="2">
        <f t="shared" si="105"/>
        <v>0.40646497802255066</v>
      </c>
      <c r="CC41" s="2">
        <f t="shared" si="105"/>
        <v>0.40647073962099717</v>
      </c>
      <c r="CD41" s="2">
        <f t="shared" si="105"/>
        <v>0.40647169154566137</v>
      </c>
      <c r="CE41" s="2">
        <f t="shared" si="105"/>
        <v>0.40647184882198806</v>
      </c>
      <c r="CF41" s="2">
        <f t="shared" si="105"/>
        <v>0.40647187480708435</v>
      </c>
      <c r="CG41" s="2">
        <f t="shared" si="105"/>
        <v>0.40647187910032606</v>
      </c>
      <c r="CH41" s="2">
        <f t="shared" si="105"/>
        <v>0.40647187980965277</v>
      </c>
      <c r="CI41" s="2">
        <f t="shared" si="105"/>
        <v>0.4064718799268473</v>
      </c>
      <c r="CJ41" s="2">
        <f t="shared" si="105"/>
        <v>0.40647187994621015</v>
      </c>
      <c r="CK41" s="2">
        <f t="shared" si="105"/>
        <v>0.40647187994940925</v>
      </c>
      <c r="CL41" s="2">
        <f t="shared" si="105"/>
        <v>0.40647187994993778</v>
      </c>
      <c r="CM41" s="2">
        <f t="shared" si="105"/>
        <v>0.40647187995002515</v>
      </c>
      <c r="CN41" s="2">
        <f t="shared" si="105"/>
        <v>0.40647187995003953</v>
      </c>
      <c r="CO41" s="2">
        <f t="shared" si="105"/>
        <v>0.40647187995004191</v>
      </c>
      <c r="CP41" s="2">
        <f t="shared" si="105"/>
        <v>0.40647187995004236</v>
      </c>
      <c r="CQ41" s="2">
        <f t="shared" si="105"/>
        <v>0.40647187995004236</v>
      </c>
      <c r="CR41" s="2">
        <f t="shared" si="105"/>
        <v>0.40647187995004236</v>
      </c>
      <c r="CS41" s="2">
        <f t="shared" si="105"/>
        <v>0.40647187995004236</v>
      </c>
      <c r="CT41" s="2">
        <f t="shared" si="105"/>
        <v>0.40647187995004236</v>
      </c>
      <c r="CU41" s="2">
        <f t="shared" si="105"/>
        <v>0.40647187995004236</v>
      </c>
      <c r="CV41" s="2">
        <f t="shared" si="105"/>
        <v>0.40647187995004236</v>
      </c>
      <c r="CW41" s="2">
        <f t="shared" si="105"/>
        <v>0.40647187995004236</v>
      </c>
      <c r="CX41" s="2">
        <f t="shared" si="105"/>
        <v>0.40647187995004236</v>
      </c>
      <c r="CY41" s="2">
        <f t="shared" si="105"/>
        <v>0.40647187995004236</v>
      </c>
      <c r="CZ41" s="2">
        <f t="shared" si="71"/>
        <v>100</v>
      </c>
      <c r="DB41" s="16"/>
      <c r="DC41" s="37">
        <v>9.3333333333333338E-2</v>
      </c>
      <c r="DD41" s="2">
        <f t="shared" si="72"/>
        <v>300</v>
      </c>
      <c r="DE41" s="2">
        <f t="shared" si="73"/>
        <v>192.12476221558975</v>
      </c>
      <c r="DF41" s="2">
        <f t="shared" si="74"/>
        <v>172.24289966341598</v>
      </c>
      <c r="DG41" s="2">
        <f t="shared" si="75"/>
        <v>163.86648521607771</v>
      </c>
      <c r="DH41" s="2">
        <f t="shared" si="76"/>
        <v>157.31901025501361</v>
      </c>
      <c r="DI41" s="2">
        <f t="shared" si="77"/>
        <v>151.1358875511855</v>
      </c>
      <c r="DJ41" s="2">
        <f t="shared" si="78"/>
        <v>145.10569881589174</v>
      </c>
      <c r="DK41" s="2">
        <f t="shared" si="79"/>
        <v>139.21381896559839</v>
      </c>
      <c r="DL41" s="2">
        <f t="shared" si="80"/>
        <v>133.47556455661066</v>
      </c>
      <c r="DM41" s="2">
        <f t="shared" si="81"/>
        <v>127.90953294118482</v>
      </c>
      <c r="DN41" s="2">
        <f t="shared" si="82"/>
        <v>122.53319503750771</v>
      </c>
      <c r="DO41" s="2">
        <f t="shared" si="83"/>
        <v>117.3620380998202</v>
      </c>
      <c r="DP41" s="2">
        <f t="shared" si="84"/>
        <v>112.4092922854247</v>
      </c>
      <c r="DQ41" s="2">
        <f t="shared" si="85"/>
        <v>107.68577206391278</v>
      </c>
      <c r="DR41" s="2">
        <f t="shared" si="86"/>
        <v>103.19975929375262</v>
      </c>
      <c r="DS41" s="2">
        <f t="shared" si="87"/>
        <v>98.956917219902166</v>
      </c>
      <c r="DT41" s="2">
        <f t="shared" si="88"/>
        <v>94.96023423415312</v>
      </c>
      <c r="DU41" s="2">
        <f t="shared" si="89"/>
        <v>91.209997460546063</v>
      </c>
      <c r="DV41" s="2">
        <f t="shared" si="90"/>
        <v>87.703796131109428</v>
      </c>
      <c r="DW41" s="2">
        <f t="shared" si="91"/>
        <v>84.436554422384546</v>
      </c>
      <c r="DX41" s="2">
        <f t="shared" si="92"/>
        <v>81.400593111215741</v>
      </c>
      <c r="DY41" s="2">
        <f t="shared" si="93"/>
        <v>78.585719110312724</v>
      </c>
      <c r="DZ41" s="2">
        <f t="shared" si="94"/>
        <v>75.979341667075659</v>
      </c>
      <c r="EA41" s="2">
        <f t="shared" si="95"/>
        <v>73.566613755593892</v>
      </c>
      <c r="EB41" s="2">
        <f t="shared" si="96"/>
        <v>71.330596962786771</v>
      </c>
      <c r="EC41" s="2">
        <f t="shared" si="97"/>
        <v>69.252447965809509</v>
      </c>
      <c r="ED41" s="2">
        <f t="shared" si="98"/>
        <v>67.31162451900029</v>
      </c>
      <c r="EE41" s="2">
        <f t="shared" si="99"/>
        <v>65.486108714239862</v>
      </c>
      <c r="EF41" s="2">
        <f t="shared" si="100"/>
        <v>63.752645147744303</v>
      </c>
      <c r="EG41" s="2">
        <f t="shared" si="101"/>
        <v>62.086991517915067</v>
      </c>
      <c r="EH41" s="2">
        <f t="shared" si="102"/>
        <v>60.464179091732959</v>
      </c>
    </row>
    <row r="42" spans="5:138">
      <c r="E42" s="18"/>
      <c r="F42" s="37">
        <v>9.0000000000000011E-2</v>
      </c>
      <c r="G42">
        <f t="shared" si="10"/>
        <v>300</v>
      </c>
      <c r="H42">
        <f t="shared" si="11"/>
        <v>289.38593600154053</v>
      </c>
      <c r="I42">
        <f t="shared" si="12"/>
        <v>278.8153648530589</v>
      </c>
      <c r="J42">
        <f t="shared" si="13"/>
        <v>268.33129219841885</v>
      </c>
      <c r="K42">
        <f t="shared" si="14"/>
        <v>257.97575507539807</v>
      </c>
      <c r="L42">
        <f t="shared" si="15"/>
        <v>247.78935204382526</v>
      </c>
      <c r="M42">
        <f t="shared" si="16"/>
        <v>237.81079039726501</v>
      </c>
      <c r="N42">
        <f t="shared" si="17"/>
        <v>228.07645576842287</v>
      </c>
      <c r="O42">
        <f t="shared" si="18"/>
        <v>218.6200091196776</v>
      </c>
      <c r="P42">
        <f t="shared" si="19"/>
        <v>209.47201572462313</v>
      </c>
      <c r="Q42">
        <f t="shared" si="20"/>
        <v>200.65961030220848</v>
      </c>
      <c r="R42">
        <f t="shared" si="21"/>
        <v>192.20620197099819</v>
      </c>
      <c r="S42">
        <f t="shared" si="22"/>
        <v>184.13122215695722</v>
      </c>
      <c r="T42">
        <f t="shared" si="23"/>
        <v>176.44991802414302</v>
      </c>
      <c r="U42">
        <f t="shared" si="24"/>
        <v>169.17319341403328</v>
      </c>
      <c r="V42">
        <f t="shared" si="25"/>
        <v>162.30749868603738</v>
      </c>
      <c r="W42">
        <f t="shared" si="26"/>
        <v>155.85477025869542</v>
      </c>
      <c r="X42">
        <f t="shared" si="27"/>
        <v>149.81242006714524</v>
      </c>
      <c r="Y42">
        <f t="shared" si="28"/>
        <v>144.17337458572587</v>
      </c>
      <c r="Z42">
        <f t="shared" si="29"/>
        <v>138.92616252213378</v>
      </c>
      <c r="AA42">
        <f t="shared" si="30"/>
        <v>134.05504977723518</v>
      </c>
      <c r="AB42">
        <f t="shared" si="31"/>
        <v>129.54021978713746</v>
      </c>
      <c r="AC42">
        <f t="shared" si="32"/>
        <v>125.35799692487294</v>
      </c>
      <c r="AD42">
        <f t="shared" si="33"/>
        <v>121.48111024031033</v>
      </c>
      <c r="AE42">
        <f t="shared" si="34"/>
        <v>117.87899445985141</v>
      </c>
      <c r="AF42">
        <f t="shared" si="35"/>
        <v>114.51812485229161</v>
      </c>
      <c r="AG42">
        <f t="shared" si="36"/>
        <v>111.36238229332247</v>
      </c>
      <c r="AH42">
        <f t="shared" si="37"/>
        <v>108.37344462730428</v>
      </c>
      <c r="AI42">
        <f t="shared" si="38"/>
        <v>105.51120022948574</v>
      </c>
      <c r="AJ42">
        <f t="shared" si="103"/>
        <v>102.7341795129193</v>
      </c>
      <c r="AK42">
        <f t="shared" si="39"/>
        <v>100</v>
      </c>
      <c r="AL42" s="16"/>
      <c r="AM42" s="37">
        <v>9.0000000000000011E-2</v>
      </c>
      <c r="AN42" s="6">
        <f t="shared" si="40"/>
        <v>-1076400000</v>
      </c>
      <c r="AO42" s="6">
        <f t="shared" si="104"/>
        <v>-1038136677.9746189</v>
      </c>
      <c r="AP42" s="6">
        <f t="shared" si="41"/>
        <v>-1000031425.3282715</v>
      </c>
      <c r="AQ42" s="6">
        <f t="shared" si="42"/>
        <v>-962240539.30702293</v>
      </c>
      <c r="AR42" s="6">
        <f t="shared" si="43"/>
        <v>-924916794.0719341</v>
      </c>
      <c r="AS42" s="6">
        <f t="shared" si="44"/>
        <v>-888207731.79929316</v>
      </c>
      <c r="AT42" s="6">
        <f t="shared" si="45"/>
        <v>-852254016.09203327</v>
      </c>
      <c r="AU42" s="6">
        <f t="shared" si="46"/>
        <v>-817187867.0595001</v>
      </c>
      <c r="AV42" s="6">
        <f t="shared" si="47"/>
        <v>-783131596.25112343</v>
      </c>
      <c r="AW42" s="6">
        <f t="shared" si="48"/>
        <v>-750196258.21321893</v>
      </c>
      <c r="AX42" s="6">
        <f t="shared" si="49"/>
        <v>-718480433.8067379</v>
      </c>
      <c r="AY42" s="6">
        <f t="shared" si="50"/>
        <v>-688069158.61086047</v>
      </c>
      <c r="AZ42" s="6">
        <f t="shared" si="51"/>
        <v>-659033007.77888405</v>
      </c>
      <c r="BA42" s="6">
        <f t="shared" si="52"/>
        <v>-631427346.64662886</v>
      </c>
      <c r="BB42" s="6">
        <f t="shared" si="53"/>
        <v>-605291754.25759995</v>
      </c>
      <c r="BC42" s="6">
        <f t="shared" si="54"/>
        <v>-580649624.80079472</v>
      </c>
      <c r="BD42" s="6">
        <f t="shared" si="55"/>
        <v>-557507949.79202139</v>
      </c>
      <c r="BE42" s="6">
        <f t="shared" si="56"/>
        <v>-535857281.7009756</v>
      </c>
      <c r="BF42" s="6">
        <f t="shared" si="57"/>
        <v>-515671877.66377956</v>
      </c>
      <c r="BG42" s="6">
        <f t="shared" si="58"/>
        <v>-496910019.9500249</v>
      </c>
      <c r="BH42" s="6">
        <f t="shared" si="59"/>
        <v>-479514507.99584407</v>
      </c>
      <c r="BI42" s="6">
        <f t="shared" si="60"/>
        <v>-463413315.08701992</v>
      </c>
      <c r="BJ42" s="6">
        <f t="shared" si="61"/>
        <v>-448520401.19075841</v>
      </c>
      <c r="BK42" s="6">
        <f t="shared" si="62"/>
        <v>-434736671.99924439</v>
      </c>
      <c r="BL42" s="6">
        <f t="shared" si="63"/>
        <v>-421951072.96614468</v>
      </c>
      <c r="BM42" s="6">
        <f t="shared" si="64"/>
        <v>-410041805.98885709</v>
      </c>
      <c r="BN42" s="6">
        <f t="shared" si="65"/>
        <v>-398877655.41162437</v>
      </c>
      <c r="BO42" s="6">
        <f t="shared" si="66"/>
        <v>-388319409.1924212</v>
      </c>
      <c r="BP42" s="6">
        <f t="shared" si="67"/>
        <v>-378221360.38301134</v>
      </c>
      <c r="BQ42" s="6">
        <f t="shared" si="68"/>
        <v>-368432873.50925547</v>
      </c>
      <c r="BR42" s="6">
        <f t="shared" si="69"/>
        <v>-358800000</v>
      </c>
      <c r="BT42" s="16"/>
      <c r="BU42" s="37">
        <v>9.0000000000000011E-2</v>
      </c>
      <c r="BV42" s="2">
        <v>0</v>
      </c>
      <c r="BW42" s="2">
        <f t="shared" ref="BW42:CY42" si="106">$B$20/($B$21-$B$22*BV42)</f>
        <v>0.34883720930232553</v>
      </c>
      <c r="BX42" s="2">
        <f t="shared" si="106"/>
        <v>0.39716748768472904</v>
      </c>
      <c r="BY42" s="2">
        <f t="shared" si="106"/>
        <v>0.40494040593779607</v>
      </c>
      <c r="BZ42" s="2">
        <f t="shared" si="106"/>
        <v>0.4062190081621499</v>
      </c>
      <c r="CA42" s="2">
        <f t="shared" si="106"/>
        <v>0.40643010492156101</v>
      </c>
      <c r="CB42" s="2">
        <f t="shared" si="106"/>
        <v>0.40646497802255066</v>
      </c>
      <c r="CC42" s="2">
        <f t="shared" si="106"/>
        <v>0.40647073962099717</v>
      </c>
      <c r="CD42" s="2">
        <f t="shared" si="106"/>
        <v>0.40647169154566137</v>
      </c>
      <c r="CE42" s="2">
        <f t="shared" si="106"/>
        <v>0.40647184882198806</v>
      </c>
      <c r="CF42" s="2">
        <f t="shared" si="106"/>
        <v>0.40647187480708435</v>
      </c>
      <c r="CG42" s="2">
        <f t="shared" si="106"/>
        <v>0.40647187910032606</v>
      </c>
      <c r="CH42" s="2">
        <f t="shared" si="106"/>
        <v>0.40647187980965277</v>
      </c>
      <c r="CI42" s="2">
        <f t="shared" si="106"/>
        <v>0.4064718799268473</v>
      </c>
      <c r="CJ42" s="2">
        <f t="shared" si="106"/>
        <v>0.40647187994621015</v>
      </c>
      <c r="CK42" s="2">
        <f t="shared" si="106"/>
        <v>0.40647187994940925</v>
      </c>
      <c r="CL42" s="2">
        <f t="shared" si="106"/>
        <v>0.40647187994993778</v>
      </c>
      <c r="CM42" s="2">
        <f t="shared" si="106"/>
        <v>0.40647187995002515</v>
      </c>
      <c r="CN42" s="2">
        <f t="shared" si="106"/>
        <v>0.40647187995003953</v>
      </c>
      <c r="CO42" s="2">
        <f t="shared" si="106"/>
        <v>0.40647187995004191</v>
      </c>
      <c r="CP42" s="2">
        <f t="shared" si="106"/>
        <v>0.40647187995004236</v>
      </c>
      <c r="CQ42" s="2">
        <f t="shared" si="106"/>
        <v>0.40647187995004236</v>
      </c>
      <c r="CR42" s="2">
        <f t="shared" si="106"/>
        <v>0.40647187995004236</v>
      </c>
      <c r="CS42" s="2">
        <f t="shared" si="106"/>
        <v>0.40647187995004236</v>
      </c>
      <c r="CT42" s="2">
        <f t="shared" si="106"/>
        <v>0.40647187995004236</v>
      </c>
      <c r="CU42" s="2">
        <f t="shared" si="106"/>
        <v>0.40647187995004236</v>
      </c>
      <c r="CV42" s="2">
        <f t="shared" si="106"/>
        <v>0.40647187995004236</v>
      </c>
      <c r="CW42" s="2">
        <f t="shared" si="106"/>
        <v>0.40647187995004236</v>
      </c>
      <c r="CX42" s="2">
        <f t="shared" si="106"/>
        <v>0.40647187995004236</v>
      </c>
      <c r="CY42" s="2">
        <f t="shared" si="106"/>
        <v>0.40647187995004236</v>
      </c>
      <c r="CZ42" s="2">
        <f t="shared" si="71"/>
        <v>100</v>
      </c>
      <c r="DB42" s="16"/>
      <c r="DC42" s="37">
        <v>9.0000000000000011E-2</v>
      </c>
      <c r="DD42" s="2">
        <f t="shared" si="72"/>
        <v>300</v>
      </c>
      <c r="DE42" s="2">
        <f t="shared" si="73"/>
        <v>192.12476221558975</v>
      </c>
      <c r="DF42" s="2">
        <f t="shared" si="74"/>
        <v>172.24289966341598</v>
      </c>
      <c r="DG42" s="2">
        <f t="shared" si="75"/>
        <v>163.86648521607771</v>
      </c>
      <c r="DH42" s="2">
        <f t="shared" si="76"/>
        <v>157.31901025501361</v>
      </c>
      <c r="DI42" s="2">
        <f t="shared" si="77"/>
        <v>151.1358875511855</v>
      </c>
      <c r="DJ42" s="2">
        <f t="shared" si="78"/>
        <v>145.10569881589174</v>
      </c>
      <c r="DK42" s="2">
        <f t="shared" si="79"/>
        <v>139.21381896559839</v>
      </c>
      <c r="DL42" s="2">
        <f t="shared" si="80"/>
        <v>133.47556455661066</v>
      </c>
      <c r="DM42" s="2">
        <f t="shared" si="81"/>
        <v>127.90953294118482</v>
      </c>
      <c r="DN42" s="2">
        <f t="shared" si="82"/>
        <v>122.53319503750771</v>
      </c>
      <c r="DO42" s="2">
        <f t="shared" si="83"/>
        <v>117.3620380998202</v>
      </c>
      <c r="DP42" s="2">
        <f t="shared" si="84"/>
        <v>112.4092922854247</v>
      </c>
      <c r="DQ42" s="2">
        <f t="shared" si="85"/>
        <v>107.68577206391278</v>
      </c>
      <c r="DR42" s="2">
        <f t="shared" si="86"/>
        <v>103.19975929375262</v>
      </c>
      <c r="DS42" s="2">
        <f t="shared" si="87"/>
        <v>98.956917219902166</v>
      </c>
      <c r="DT42" s="2">
        <f t="shared" si="88"/>
        <v>94.96023423415312</v>
      </c>
      <c r="DU42" s="2">
        <f t="shared" si="89"/>
        <v>91.209997460546063</v>
      </c>
      <c r="DV42" s="2">
        <f t="shared" si="90"/>
        <v>87.703796131109428</v>
      </c>
      <c r="DW42" s="2">
        <f t="shared" si="91"/>
        <v>84.436554422384546</v>
      </c>
      <c r="DX42" s="2">
        <f t="shared" si="92"/>
        <v>81.400593111215741</v>
      </c>
      <c r="DY42" s="2">
        <f t="shared" si="93"/>
        <v>78.585719110312724</v>
      </c>
      <c r="DZ42" s="2">
        <f t="shared" si="94"/>
        <v>75.979341667075659</v>
      </c>
      <c r="EA42" s="2">
        <f t="shared" si="95"/>
        <v>73.566613755593892</v>
      </c>
      <c r="EB42" s="2">
        <f t="shared" si="96"/>
        <v>71.330596962786771</v>
      </c>
      <c r="EC42" s="2">
        <f t="shared" si="97"/>
        <v>69.252447965809509</v>
      </c>
      <c r="ED42" s="2">
        <f t="shared" si="98"/>
        <v>67.31162451900029</v>
      </c>
      <c r="EE42" s="2">
        <f t="shared" si="99"/>
        <v>65.486108714239862</v>
      </c>
      <c r="EF42" s="2">
        <f t="shared" si="100"/>
        <v>63.752645147744303</v>
      </c>
      <c r="EG42" s="2">
        <f t="shared" si="101"/>
        <v>62.086991517915067</v>
      </c>
      <c r="EH42" s="2">
        <f t="shared" si="102"/>
        <v>60.464179091732959</v>
      </c>
    </row>
    <row r="43" spans="5:138">
      <c r="E43" s="18"/>
      <c r="F43" s="37">
        <v>8.666666666666667E-2</v>
      </c>
      <c r="G43">
        <f t="shared" si="10"/>
        <v>300</v>
      </c>
      <c r="H43">
        <f t="shared" si="11"/>
        <v>289.38593600154053</v>
      </c>
      <c r="I43">
        <f t="shared" si="12"/>
        <v>278.8153648530589</v>
      </c>
      <c r="J43">
        <f t="shared" si="13"/>
        <v>268.33129219841885</v>
      </c>
      <c r="K43">
        <f t="shared" si="14"/>
        <v>257.97575507539807</v>
      </c>
      <c r="L43">
        <f t="shared" si="15"/>
        <v>247.78935204382526</v>
      </c>
      <c r="M43">
        <f t="shared" si="16"/>
        <v>237.81079039726501</v>
      </c>
      <c r="N43">
        <f t="shared" si="17"/>
        <v>228.07645576842287</v>
      </c>
      <c r="O43">
        <f t="shared" si="18"/>
        <v>218.6200091196776</v>
      </c>
      <c r="P43">
        <f t="shared" si="19"/>
        <v>209.47201572462313</v>
      </c>
      <c r="Q43">
        <f t="shared" si="20"/>
        <v>200.65961030220848</v>
      </c>
      <c r="R43">
        <f t="shared" si="21"/>
        <v>192.20620197099819</v>
      </c>
      <c r="S43">
        <f t="shared" si="22"/>
        <v>184.13122215695722</v>
      </c>
      <c r="T43">
        <f t="shared" si="23"/>
        <v>176.44991802414302</v>
      </c>
      <c r="U43">
        <f t="shared" si="24"/>
        <v>169.17319341403328</v>
      </c>
      <c r="V43">
        <f t="shared" si="25"/>
        <v>162.30749868603738</v>
      </c>
      <c r="W43">
        <f t="shared" si="26"/>
        <v>155.85477025869542</v>
      </c>
      <c r="X43">
        <f t="shared" si="27"/>
        <v>149.81242006714524</v>
      </c>
      <c r="Y43">
        <f t="shared" si="28"/>
        <v>144.17337458572587</v>
      </c>
      <c r="Z43">
        <f t="shared" si="29"/>
        <v>138.92616252213378</v>
      </c>
      <c r="AA43">
        <f t="shared" si="30"/>
        <v>134.05504977723518</v>
      </c>
      <c r="AB43">
        <f t="shared" si="31"/>
        <v>129.54021978713746</v>
      </c>
      <c r="AC43">
        <f t="shared" si="32"/>
        <v>125.35799692487294</v>
      </c>
      <c r="AD43">
        <f t="shared" si="33"/>
        <v>121.48111024031033</v>
      </c>
      <c r="AE43">
        <f t="shared" si="34"/>
        <v>117.87899445985141</v>
      </c>
      <c r="AF43">
        <f t="shared" si="35"/>
        <v>114.51812485229161</v>
      </c>
      <c r="AG43">
        <f t="shared" si="36"/>
        <v>111.36238229332247</v>
      </c>
      <c r="AH43">
        <f t="shared" si="37"/>
        <v>108.37344462730428</v>
      </c>
      <c r="AI43">
        <f t="shared" si="38"/>
        <v>105.51120022948574</v>
      </c>
      <c r="AJ43">
        <f t="shared" si="103"/>
        <v>102.7341795129193</v>
      </c>
      <c r="AK43">
        <f t="shared" si="39"/>
        <v>100</v>
      </c>
      <c r="AL43" s="16"/>
      <c r="AM43" s="37">
        <v>8.666666666666667E-2</v>
      </c>
      <c r="AN43" s="6">
        <f t="shared" si="40"/>
        <v>-1076400000</v>
      </c>
      <c r="AO43" s="6">
        <f t="shared" si="104"/>
        <v>-1038136677.9746189</v>
      </c>
      <c r="AP43" s="6">
        <f t="shared" si="41"/>
        <v>-1000031425.3282715</v>
      </c>
      <c r="AQ43" s="6">
        <f t="shared" si="42"/>
        <v>-962240539.30702293</v>
      </c>
      <c r="AR43" s="6">
        <f t="shared" si="43"/>
        <v>-924916794.0719341</v>
      </c>
      <c r="AS43" s="6">
        <f t="shared" si="44"/>
        <v>-888207731.79929316</v>
      </c>
      <c r="AT43" s="6">
        <f t="shared" si="45"/>
        <v>-852254016.09203327</v>
      </c>
      <c r="AU43" s="6">
        <f t="shared" si="46"/>
        <v>-817187867.0595001</v>
      </c>
      <c r="AV43" s="6">
        <f t="shared" si="47"/>
        <v>-783131596.25112343</v>
      </c>
      <c r="AW43" s="6">
        <f t="shared" si="48"/>
        <v>-750196258.21321893</v>
      </c>
      <c r="AX43" s="6">
        <f t="shared" si="49"/>
        <v>-718480433.8067379</v>
      </c>
      <c r="AY43" s="6">
        <f t="shared" si="50"/>
        <v>-688069158.61086047</v>
      </c>
      <c r="AZ43" s="6">
        <f t="shared" si="51"/>
        <v>-659033007.77888405</v>
      </c>
      <c r="BA43" s="6">
        <f t="shared" si="52"/>
        <v>-631427346.64662886</v>
      </c>
      <c r="BB43" s="6">
        <f t="shared" si="53"/>
        <v>-605291754.25759995</v>
      </c>
      <c r="BC43" s="6">
        <f t="shared" si="54"/>
        <v>-580649624.80079472</v>
      </c>
      <c r="BD43" s="6">
        <f t="shared" si="55"/>
        <v>-557507949.79202139</v>
      </c>
      <c r="BE43" s="6">
        <f t="shared" si="56"/>
        <v>-535857281.7009756</v>
      </c>
      <c r="BF43" s="6">
        <f t="shared" si="57"/>
        <v>-515671877.66377956</v>
      </c>
      <c r="BG43" s="6">
        <f t="shared" si="58"/>
        <v>-496910019.9500249</v>
      </c>
      <c r="BH43" s="6">
        <f t="shared" si="59"/>
        <v>-479514507.99584407</v>
      </c>
      <c r="BI43" s="6">
        <f t="shared" si="60"/>
        <v>-463413315.08701992</v>
      </c>
      <c r="BJ43" s="6">
        <f t="shared" si="61"/>
        <v>-448520401.19075841</v>
      </c>
      <c r="BK43" s="6">
        <f t="shared" si="62"/>
        <v>-434736671.99924439</v>
      </c>
      <c r="BL43" s="6">
        <f t="shared" si="63"/>
        <v>-421951072.96614468</v>
      </c>
      <c r="BM43" s="6">
        <f t="shared" si="64"/>
        <v>-410041805.98885709</v>
      </c>
      <c r="BN43" s="6">
        <f t="shared" si="65"/>
        <v>-398877655.41162437</v>
      </c>
      <c r="BO43" s="6">
        <f t="shared" si="66"/>
        <v>-388319409.1924212</v>
      </c>
      <c r="BP43" s="6">
        <f t="shared" si="67"/>
        <v>-378221360.38301134</v>
      </c>
      <c r="BQ43" s="6">
        <f t="shared" si="68"/>
        <v>-368432873.50925547</v>
      </c>
      <c r="BR43" s="6">
        <f t="shared" si="69"/>
        <v>-358800000</v>
      </c>
      <c r="BT43" s="16"/>
      <c r="BU43" s="37">
        <v>8.666666666666667E-2</v>
      </c>
      <c r="BV43" s="2">
        <v>0</v>
      </c>
      <c r="BW43" s="2">
        <f t="shared" ref="BW43:CY43" si="107">$B$20/($B$21-$B$22*BV43)</f>
        <v>0.34883720930232553</v>
      </c>
      <c r="BX43" s="2">
        <f t="shared" si="107"/>
        <v>0.39716748768472904</v>
      </c>
      <c r="BY43" s="2">
        <f t="shared" si="107"/>
        <v>0.40494040593779607</v>
      </c>
      <c r="BZ43" s="2">
        <f t="shared" si="107"/>
        <v>0.4062190081621499</v>
      </c>
      <c r="CA43" s="2">
        <f t="shared" si="107"/>
        <v>0.40643010492156101</v>
      </c>
      <c r="CB43" s="2">
        <f t="shared" si="107"/>
        <v>0.40646497802255066</v>
      </c>
      <c r="CC43" s="2">
        <f t="shared" si="107"/>
        <v>0.40647073962099717</v>
      </c>
      <c r="CD43" s="2">
        <f t="shared" si="107"/>
        <v>0.40647169154566137</v>
      </c>
      <c r="CE43" s="2">
        <f t="shared" si="107"/>
        <v>0.40647184882198806</v>
      </c>
      <c r="CF43" s="2">
        <f t="shared" si="107"/>
        <v>0.40647187480708435</v>
      </c>
      <c r="CG43" s="2">
        <f t="shared" si="107"/>
        <v>0.40647187910032606</v>
      </c>
      <c r="CH43" s="2">
        <f t="shared" si="107"/>
        <v>0.40647187980965277</v>
      </c>
      <c r="CI43" s="2">
        <f t="shared" si="107"/>
        <v>0.4064718799268473</v>
      </c>
      <c r="CJ43" s="2">
        <f t="shared" si="107"/>
        <v>0.40647187994621015</v>
      </c>
      <c r="CK43" s="2">
        <f t="shared" si="107"/>
        <v>0.40647187994940925</v>
      </c>
      <c r="CL43" s="2">
        <f t="shared" si="107"/>
        <v>0.40647187994993778</v>
      </c>
      <c r="CM43" s="2">
        <f t="shared" si="107"/>
        <v>0.40647187995002515</v>
      </c>
      <c r="CN43" s="2">
        <f t="shared" si="107"/>
        <v>0.40647187995003953</v>
      </c>
      <c r="CO43" s="2">
        <f t="shared" si="107"/>
        <v>0.40647187995004191</v>
      </c>
      <c r="CP43" s="2">
        <f t="shared" si="107"/>
        <v>0.40647187995004236</v>
      </c>
      <c r="CQ43" s="2">
        <f t="shared" si="107"/>
        <v>0.40647187995004236</v>
      </c>
      <c r="CR43" s="2">
        <f t="shared" si="107"/>
        <v>0.40647187995004236</v>
      </c>
      <c r="CS43" s="2">
        <f t="shared" si="107"/>
        <v>0.40647187995004236</v>
      </c>
      <c r="CT43" s="2">
        <f t="shared" si="107"/>
        <v>0.40647187995004236</v>
      </c>
      <c r="CU43" s="2">
        <f t="shared" si="107"/>
        <v>0.40647187995004236</v>
      </c>
      <c r="CV43" s="2">
        <f t="shared" si="107"/>
        <v>0.40647187995004236</v>
      </c>
      <c r="CW43" s="2">
        <f t="shared" si="107"/>
        <v>0.40647187995004236</v>
      </c>
      <c r="CX43" s="2">
        <f t="shared" si="107"/>
        <v>0.40647187995004236</v>
      </c>
      <c r="CY43" s="2">
        <f t="shared" si="107"/>
        <v>0.40647187995004236</v>
      </c>
      <c r="CZ43" s="2">
        <f t="shared" si="71"/>
        <v>100</v>
      </c>
      <c r="DB43" s="16"/>
      <c r="DC43" s="37">
        <v>8.666666666666667E-2</v>
      </c>
      <c r="DD43" s="2">
        <f t="shared" si="72"/>
        <v>300</v>
      </c>
      <c r="DE43" s="2">
        <f t="shared" si="73"/>
        <v>192.12476221558975</v>
      </c>
      <c r="DF43" s="2">
        <f t="shared" si="74"/>
        <v>172.24289966341598</v>
      </c>
      <c r="DG43" s="2">
        <f t="shared" si="75"/>
        <v>163.86648521607771</v>
      </c>
      <c r="DH43" s="2">
        <f t="shared" si="76"/>
        <v>157.31901025501361</v>
      </c>
      <c r="DI43" s="2">
        <f t="shared" si="77"/>
        <v>151.1358875511855</v>
      </c>
      <c r="DJ43" s="2">
        <f t="shared" si="78"/>
        <v>145.10569881589174</v>
      </c>
      <c r="DK43" s="2">
        <f t="shared" si="79"/>
        <v>139.21381896559839</v>
      </c>
      <c r="DL43" s="2">
        <f t="shared" si="80"/>
        <v>133.47556455661066</v>
      </c>
      <c r="DM43" s="2">
        <f t="shared" si="81"/>
        <v>127.90953294118482</v>
      </c>
      <c r="DN43" s="2">
        <f t="shared" si="82"/>
        <v>122.53319503750771</v>
      </c>
      <c r="DO43" s="2">
        <f t="shared" si="83"/>
        <v>117.3620380998202</v>
      </c>
      <c r="DP43" s="2">
        <f t="shared" si="84"/>
        <v>112.4092922854247</v>
      </c>
      <c r="DQ43" s="2">
        <f t="shared" si="85"/>
        <v>107.68577206391278</v>
      </c>
      <c r="DR43" s="2">
        <f t="shared" si="86"/>
        <v>103.19975929375262</v>
      </c>
      <c r="DS43" s="2">
        <f t="shared" si="87"/>
        <v>98.956917219902166</v>
      </c>
      <c r="DT43" s="2">
        <f t="shared" si="88"/>
        <v>94.96023423415312</v>
      </c>
      <c r="DU43" s="2">
        <f t="shared" si="89"/>
        <v>91.209997460546063</v>
      </c>
      <c r="DV43" s="2">
        <f t="shared" si="90"/>
        <v>87.703796131109428</v>
      </c>
      <c r="DW43" s="2">
        <f t="shared" si="91"/>
        <v>84.436554422384546</v>
      </c>
      <c r="DX43" s="2">
        <f t="shared" si="92"/>
        <v>81.400593111215741</v>
      </c>
      <c r="DY43" s="2">
        <f t="shared" si="93"/>
        <v>78.585719110312724</v>
      </c>
      <c r="DZ43" s="2">
        <f t="shared" si="94"/>
        <v>75.979341667075659</v>
      </c>
      <c r="EA43" s="2">
        <f t="shared" si="95"/>
        <v>73.566613755593892</v>
      </c>
      <c r="EB43" s="2">
        <f t="shared" si="96"/>
        <v>71.330596962786771</v>
      </c>
      <c r="EC43" s="2">
        <f t="shared" si="97"/>
        <v>69.252447965809509</v>
      </c>
      <c r="ED43" s="2">
        <f t="shared" si="98"/>
        <v>67.31162451900029</v>
      </c>
      <c r="EE43" s="2">
        <f t="shared" si="99"/>
        <v>65.486108714239862</v>
      </c>
      <c r="EF43" s="2">
        <f t="shared" si="100"/>
        <v>63.752645147744303</v>
      </c>
      <c r="EG43" s="2">
        <f t="shared" si="101"/>
        <v>62.086991517915067</v>
      </c>
      <c r="EH43" s="2">
        <f t="shared" si="102"/>
        <v>60.464179091732959</v>
      </c>
    </row>
    <row r="44" spans="5:138">
      <c r="E44" s="18"/>
      <c r="F44" s="37">
        <v>8.3333333333333343E-2</v>
      </c>
      <c r="G44">
        <f t="shared" si="10"/>
        <v>300</v>
      </c>
      <c r="H44">
        <f t="shared" si="11"/>
        <v>289.38593600154053</v>
      </c>
      <c r="I44">
        <f t="shared" si="12"/>
        <v>278.8153648530589</v>
      </c>
      <c r="J44">
        <f t="shared" si="13"/>
        <v>268.33129219841885</v>
      </c>
      <c r="K44">
        <f t="shared" si="14"/>
        <v>257.97575507539807</v>
      </c>
      <c r="L44">
        <f t="shared" si="15"/>
        <v>247.78935204382526</v>
      </c>
      <c r="M44">
        <f t="shared" si="16"/>
        <v>237.81079039726501</v>
      </c>
      <c r="N44">
        <f t="shared" si="17"/>
        <v>228.07645576842287</v>
      </c>
      <c r="O44">
        <f t="shared" si="18"/>
        <v>218.6200091196776</v>
      </c>
      <c r="P44">
        <f t="shared" si="19"/>
        <v>209.47201572462313</v>
      </c>
      <c r="Q44">
        <f t="shared" si="20"/>
        <v>200.65961030220848</v>
      </c>
      <c r="R44">
        <f t="shared" si="21"/>
        <v>192.20620197099819</v>
      </c>
      <c r="S44">
        <f t="shared" si="22"/>
        <v>184.13122215695722</v>
      </c>
      <c r="T44">
        <f t="shared" si="23"/>
        <v>176.44991802414302</v>
      </c>
      <c r="U44">
        <f t="shared" si="24"/>
        <v>169.17319341403328</v>
      </c>
      <c r="V44">
        <f t="shared" si="25"/>
        <v>162.30749868603738</v>
      </c>
      <c r="W44">
        <f t="shared" si="26"/>
        <v>155.85477025869542</v>
      </c>
      <c r="X44">
        <f t="shared" si="27"/>
        <v>149.81242006714524</v>
      </c>
      <c r="Y44">
        <f t="shared" si="28"/>
        <v>144.17337458572587</v>
      </c>
      <c r="Z44">
        <f t="shared" si="29"/>
        <v>138.92616252213378</v>
      </c>
      <c r="AA44">
        <f t="shared" si="30"/>
        <v>134.05504977723518</v>
      </c>
      <c r="AB44">
        <f t="shared" si="31"/>
        <v>129.54021978713746</v>
      </c>
      <c r="AC44">
        <f t="shared" si="32"/>
        <v>125.35799692487294</v>
      </c>
      <c r="AD44">
        <f t="shared" si="33"/>
        <v>121.48111024031033</v>
      </c>
      <c r="AE44">
        <f t="shared" si="34"/>
        <v>117.87899445985141</v>
      </c>
      <c r="AF44">
        <f t="shared" si="35"/>
        <v>114.51812485229161</v>
      </c>
      <c r="AG44">
        <f t="shared" si="36"/>
        <v>111.36238229332247</v>
      </c>
      <c r="AH44">
        <f t="shared" si="37"/>
        <v>108.37344462730428</v>
      </c>
      <c r="AI44">
        <f t="shared" si="38"/>
        <v>105.51120022948574</v>
      </c>
      <c r="AJ44">
        <f t="shared" si="103"/>
        <v>102.7341795129193</v>
      </c>
      <c r="AK44">
        <f t="shared" si="39"/>
        <v>100</v>
      </c>
      <c r="AL44" s="16"/>
      <c r="AM44" s="37">
        <v>8.3333333333333343E-2</v>
      </c>
      <c r="AN44" s="6">
        <f t="shared" si="40"/>
        <v>-1076400000</v>
      </c>
      <c r="AO44" s="6">
        <f t="shared" si="104"/>
        <v>-1038136677.9746189</v>
      </c>
      <c r="AP44" s="6">
        <f t="shared" si="41"/>
        <v>-1000031425.3282715</v>
      </c>
      <c r="AQ44" s="6">
        <f t="shared" si="42"/>
        <v>-962240539.30702293</v>
      </c>
      <c r="AR44" s="6">
        <f t="shared" si="43"/>
        <v>-924916794.0719341</v>
      </c>
      <c r="AS44" s="6">
        <f t="shared" si="44"/>
        <v>-888207731.79929316</v>
      </c>
      <c r="AT44" s="6">
        <f t="shared" si="45"/>
        <v>-852254016.09203327</v>
      </c>
      <c r="AU44" s="6">
        <f t="shared" si="46"/>
        <v>-817187867.0595001</v>
      </c>
      <c r="AV44" s="6">
        <f t="shared" si="47"/>
        <v>-783131596.25112343</v>
      </c>
      <c r="AW44" s="6">
        <f t="shared" si="48"/>
        <v>-750196258.21321893</v>
      </c>
      <c r="AX44" s="6">
        <f t="shared" si="49"/>
        <v>-718480433.8067379</v>
      </c>
      <c r="AY44" s="6">
        <f t="shared" si="50"/>
        <v>-688069158.61086047</v>
      </c>
      <c r="AZ44" s="6">
        <f t="shared" si="51"/>
        <v>-659033007.77888405</v>
      </c>
      <c r="BA44" s="6">
        <f t="shared" si="52"/>
        <v>-631427346.64662886</v>
      </c>
      <c r="BB44" s="6">
        <f t="shared" si="53"/>
        <v>-605291754.25759995</v>
      </c>
      <c r="BC44" s="6">
        <f t="shared" si="54"/>
        <v>-580649624.80079472</v>
      </c>
      <c r="BD44" s="6">
        <f t="shared" si="55"/>
        <v>-557507949.79202139</v>
      </c>
      <c r="BE44" s="6">
        <f t="shared" si="56"/>
        <v>-535857281.7009756</v>
      </c>
      <c r="BF44" s="6">
        <f t="shared" si="57"/>
        <v>-515671877.66377956</v>
      </c>
      <c r="BG44" s="6">
        <f t="shared" si="58"/>
        <v>-496910019.9500249</v>
      </c>
      <c r="BH44" s="6">
        <f t="shared" si="59"/>
        <v>-479514507.99584407</v>
      </c>
      <c r="BI44" s="6">
        <f t="shared" si="60"/>
        <v>-463413315.08701992</v>
      </c>
      <c r="BJ44" s="6">
        <f t="shared" si="61"/>
        <v>-448520401.19075841</v>
      </c>
      <c r="BK44" s="6">
        <f t="shared" si="62"/>
        <v>-434736671.99924439</v>
      </c>
      <c r="BL44" s="6">
        <f t="shared" si="63"/>
        <v>-421951072.96614468</v>
      </c>
      <c r="BM44" s="6">
        <f t="shared" si="64"/>
        <v>-410041805.98885709</v>
      </c>
      <c r="BN44" s="6">
        <f t="shared" si="65"/>
        <v>-398877655.41162437</v>
      </c>
      <c r="BO44" s="6">
        <f t="shared" si="66"/>
        <v>-388319409.1924212</v>
      </c>
      <c r="BP44" s="6">
        <f t="shared" si="67"/>
        <v>-378221360.38301134</v>
      </c>
      <c r="BQ44" s="6">
        <f t="shared" si="68"/>
        <v>-368432873.50925547</v>
      </c>
      <c r="BR44" s="6">
        <f t="shared" si="69"/>
        <v>-358800000</v>
      </c>
      <c r="BT44" s="16"/>
      <c r="BU44" s="37">
        <v>8.3333333333333343E-2</v>
      </c>
      <c r="BV44" s="2">
        <v>0</v>
      </c>
      <c r="BW44" s="2">
        <f t="shared" ref="BW44:CY44" si="108">$B$20/($B$21-$B$22*BV44)</f>
        <v>0.34883720930232553</v>
      </c>
      <c r="BX44" s="2">
        <f t="shared" si="108"/>
        <v>0.39716748768472904</v>
      </c>
      <c r="BY44" s="2">
        <f t="shared" si="108"/>
        <v>0.40494040593779607</v>
      </c>
      <c r="BZ44" s="2">
        <f t="shared" si="108"/>
        <v>0.4062190081621499</v>
      </c>
      <c r="CA44" s="2">
        <f t="shared" si="108"/>
        <v>0.40643010492156101</v>
      </c>
      <c r="CB44" s="2">
        <f t="shared" si="108"/>
        <v>0.40646497802255066</v>
      </c>
      <c r="CC44" s="2">
        <f t="shared" si="108"/>
        <v>0.40647073962099717</v>
      </c>
      <c r="CD44" s="2">
        <f t="shared" si="108"/>
        <v>0.40647169154566137</v>
      </c>
      <c r="CE44" s="2">
        <f t="shared" si="108"/>
        <v>0.40647184882198806</v>
      </c>
      <c r="CF44" s="2">
        <f t="shared" si="108"/>
        <v>0.40647187480708435</v>
      </c>
      <c r="CG44" s="2">
        <f t="shared" si="108"/>
        <v>0.40647187910032606</v>
      </c>
      <c r="CH44" s="2">
        <f t="shared" si="108"/>
        <v>0.40647187980965277</v>
      </c>
      <c r="CI44" s="2">
        <f t="shared" si="108"/>
        <v>0.4064718799268473</v>
      </c>
      <c r="CJ44" s="2">
        <f t="shared" si="108"/>
        <v>0.40647187994621015</v>
      </c>
      <c r="CK44" s="2">
        <f t="shared" si="108"/>
        <v>0.40647187994940925</v>
      </c>
      <c r="CL44" s="2">
        <f t="shared" si="108"/>
        <v>0.40647187994993778</v>
      </c>
      <c r="CM44" s="2">
        <f t="shared" si="108"/>
        <v>0.40647187995002515</v>
      </c>
      <c r="CN44" s="2">
        <f t="shared" si="108"/>
        <v>0.40647187995003953</v>
      </c>
      <c r="CO44" s="2">
        <f t="shared" si="108"/>
        <v>0.40647187995004191</v>
      </c>
      <c r="CP44" s="2">
        <f t="shared" si="108"/>
        <v>0.40647187995004236</v>
      </c>
      <c r="CQ44" s="2">
        <f t="shared" si="108"/>
        <v>0.40647187995004236</v>
      </c>
      <c r="CR44" s="2">
        <f t="shared" si="108"/>
        <v>0.40647187995004236</v>
      </c>
      <c r="CS44" s="2">
        <f t="shared" si="108"/>
        <v>0.40647187995004236</v>
      </c>
      <c r="CT44" s="2">
        <f t="shared" si="108"/>
        <v>0.40647187995004236</v>
      </c>
      <c r="CU44" s="2">
        <f t="shared" si="108"/>
        <v>0.40647187995004236</v>
      </c>
      <c r="CV44" s="2">
        <f t="shared" si="108"/>
        <v>0.40647187995004236</v>
      </c>
      <c r="CW44" s="2">
        <f t="shared" si="108"/>
        <v>0.40647187995004236</v>
      </c>
      <c r="CX44" s="2">
        <f t="shared" si="108"/>
        <v>0.40647187995004236</v>
      </c>
      <c r="CY44" s="2">
        <f t="shared" si="108"/>
        <v>0.40647187995004236</v>
      </c>
      <c r="CZ44" s="2">
        <f t="shared" si="71"/>
        <v>100</v>
      </c>
      <c r="DB44" s="16"/>
      <c r="DC44" s="37">
        <v>8.3333333333333343E-2</v>
      </c>
      <c r="DD44" s="2">
        <f t="shared" si="72"/>
        <v>300</v>
      </c>
      <c r="DE44" s="2">
        <f t="shared" si="73"/>
        <v>192.12476221558975</v>
      </c>
      <c r="DF44" s="2">
        <f t="shared" si="74"/>
        <v>172.24289966341598</v>
      </c>
      <c r="DG44" s="2">
        <f t="shared" si="75"/>
        <v>163.86648521607771</v>
      </c>
      <c r="DH44" s="2">
        <f t="shared" si="76"/>
        <v>157.31901025501361</v>
      </c>
      <c r="DI44" s="2">
        <f t="shared" si="77"/>
        <v>151.1358875511855</v>
      </c>
      <c r="DJ44" s="2">
        <f t="shared" si="78"/>
        <v>145.10569881589174</v>
      </c>
      <c r="DK44" s="2">
        <f t="shared" si="79"/>
        <v>139.21381896559839</v>
      </c>
      <c r="DL44" s="2">
        <f t="shared" si="80"/>
        <v>133.47556455661066</v>
      </c>
      <c r="DM44" s="2">
        <f t="shared" si="81"/>
        <v>127.90953294118482</v>
      </c>
      <c r="DN44" s="2">
        <f t="shared" si="82"/>
        <v>122.53319503750771</v>
      </c>
      <c r="DO44" s="2">
        <f t="shared" si="83"/>
        <v>117.3620380998202</v>
      </c>
      <c r="DP44" s="2">
        <f t="shared" si="84"/>
        <v>112.4092922854247</v>
      </c>
      <c r="DQ44" s="2">
        <f t="shared" si="85"/>
        <v>107.68577206391278</v>
      </c>
      <c r="DR44" s="2">
        <f t="shared" si="86"/>
        <v>103.19975929375262</v>
      </c>
      <c r="DS44" s="2">
        <f t="shared" si="87"/>
        <v>98.956917219902166</v>
      </c>
      <c r="DT44" s="2">
        <f t="shared" si="88"/>
        <v>94.96023423415312</v>
      </c>
      <c r="DU44" s="2">
        <f t="shared" si="89"/>
        <v>91.209997460546063</v>
      </c>
      <c r="DV44" s="2">
        <f t="shared" si="90"/>
        <v>87.703796131109428</v>
      </c>
      <c r="DW44" s="2">
        <f t="shared" si="91"/>
        <v>84.436554422384546</v>
      </c>
      <c r="DX44" s="2">
        <f t="shared" si="92"/>
        <v>81.400593111215741</v>
      </c>
      <c r="DY44" s="2">
        <f t="shared" si="93"/>
        <v>78.585719110312724</v>
      </c>
      <c r="DZ44" s="2">
        <f t="shared" si="94"/>
        <v>75.979341667075659</v>
      </c>
      <c r="EA44" s="2">
        <f t="shared" si="95"/>
        <v>73.566613755593892</v>
      </c>
      <c r="EB44" s="2">
        <f t="shared" si="96"/>
        <v>71.330596962786771</v>
      </c>
      <c r="EC44" s="2">
        <f t="shared" si="97"/>
        <v>69.252447965809509</v>
      </c>
      <c r="ED44" s="2">
        <f t="shared" si="98"/>
        <v>67.31162451900029</v>
      </c>
      <c r="EE44" s="2">
        <f t="shared" si="99"/>
        <v>65.486108714239862</v>
      </c>
      <c r="EF44" s="2">
        <f t="shared" si="100"/>
        <v>63.752645147744303</v>
      </c>
      <c r="EG44" s="2">
        <f t="shared" si="101"/>
        <v>62.086991517915067</v>
      </c>
      <c r="EH44" s="2">
        <f t="shared" si="102"/>
        <v>60.464179091732959</v>
      </c>
    </row>
    <row r="45" spans="5:138">
      <c r="E45" s="18"/>
      <c r="F45" s="37">
        <v>0.08</v>
      </c>
      <c r="G45">
        <f t="shared" si="10"/>
        <v>300</v>
      </c>
      <c r="H45">
        <f t="shared" si="11"/>
        <v>289.38593600154053</v>
      </c>
      <c r="I45">
        <f t="shared" si="12"/>
        <v>278.8153648530589</v>
      </c>
      <c r="J45">
        <f t="shared" si="13"/>
        <v>268.33129219841885</v>
      </c>
      <c r="K45">
        <f t="shared" si="14"/>
        <v>257.97575507539807</v>
      </c>
      <c r="L45">
        <f t="shared" si="15"/>
        <v>247.78935204382526</v>
      </c>
      <c r="M45">
        <f t="shared" si="16"/>
        <v>237.81079039726501</v>
      </c>
      <c r="N45">
        <f t="shared" si="17"/>
        <v>228.07645576842287</v>
      </c>
      <c r="O45">
        <f t="shared" si="18"/>
        <v>218.6200091196776</v>
      </c>
      <c r="P45">
        <f t="shared" si="19"/>
        <v>209.47201572462313</v>
      </c>
      <c r="Q45">
        <f t="shared" si="20"/>
        <v>200.65961030220848</v>
      </c>
      <c r="R45">
        <f t="shared" si="21"/>
        <v>192.20620197099819</v>
      </c>
      <c r="S45">
        <f t="shared" si="22"/>
        <v>184.13122215695722</v>
      </c>
      <c r="T45">
        <f t="shared" si="23"/>
        <v>176.44991802414302</v>
      </c>
      <c r="U45">
        <f t="shared" si="24"/>
        <v>169.17319341403328</v>
      </c>
      <c r="V45">
        <f t="shared" si="25"/>
        <v>162.30749868603738</v>
      </c>
      <c r="W45">
        <f t="shared" si="26"/>
        <v>155.85477025869542</v>
      </c>
      <c r="X45">
        <f t="shared" si="27"/>
        <v>149.81242006714524</v>
      </c>
      <c r="Y45">
        <f t="shared" si="28"/>
        <v>144.17337458572587</v>
      </c>
      <c r="Z45">
        <f t="shared" si="29"/>
        <v>138.92616252213378</v>
      </c>
      <c r="AA45">
        <f t="shared" si="30"/>
        <v>134.05504977723518</v>
      </c>
      <c r="AB45">
        <f t="shared" si="31"/>
        <v>129.54021978713746</v>
      </c>
      <c r="AC45">
        <f t="shared" si="32"/>
        <v>125.35799692487294</v>
      </c>
      <c r="AD45">
        <f t="shared" si="33"/>
        <v>121.48111024031033</v>
      </c>
      <c r="AE45">
        <f t="shared" si="34"/>
        <v>117.87899445985141</v>
      </c>
      <c r="AF45">
        <f t="shared" si="35"/>
        <v>114.51812485229161</v>
      </c>
      <c r="AG45">
        <f t="shared" si="36"/>
        <v>111.36238229332247</v>
      </c>
      <c r="AH45">
        <f t="shared" si="37"/>
        <v>108.37344462730428</v>
      </c>
      <c r="AI45">
        <f t="shared" si="38"/>
        <v>105.51120022948574</v>
      </c>
      <c r="AJ45">
        <f t="shared" si="103"/>
        <v>102.7341795129193</v>
      </c>
      <c r="AK45">
        <f t="shared" si="39"/>
        <v>100</v>
      </c>
      <c r="AL45" s="16"/>
      <c r="AM45" s="37">
        <v>0.08</v>
      </c>
      <c r="AN45" s="6">
        <f t="shared" si="40"/>
        <v>-1076400000</v>
      </c>
      <c r="AO45" s="6">
        <f t="shared" si="104"/>
        <v>-1038136677.9746189</v>
      </c>
      <c r="AP45" s="6">
        <f t="shared" si="41"/>
        <v>-1000031425.3282715</v>
      </c>
      <c r="AQ45" s="6">
        <f t="shared" si="42"/>
        <v>-962240539.30702293</v>
      </c>
      <c r="AR45" s="6">
        <f t="shared" si="43"/>
        <v>-924916794.0719341</v>
      </c>
      <c r="AS45" s="6">
        <f t="shared" si="44"/>
        <v>-888207731.79929316</v>
      </c>
      <c r="AT45" s="6">
        <f t="shared" si="45"/>
        <v>-852254016.09203327</v>
      </c>
      <c r="AU45" s="6">
        <f t="shared" si="46"/>
        <v>-817187867.0595001</v>
      </c>
      <c r="AV45" s="6">
        <f t="shared" si="47"/>
        <v>-783131596.25112343</v>
      </c>
      <c r="AW45" s="6">
        <f t="shared" si="48"/>
        <v>-750196258.21321893</v>
      </c>
      <c r="AX45" s="6">
        <f t="shared" si="49"/>
        <v>-718480433.8067379</v>
      </c>
      <c r="AY45" s="6">
        <f t="shared" si="50"/>
        <v>-688069158.61086047</v>
      </c>
      <c r="AZ45" s="6">
        <f t="shared" si="51"/>
        <v>-659033007.77888405</v>
      </c>
      <c r="BA45" s="6">
        <f t="shared" si="52"/>
        <v>-631427346.64662886</v>
      </c>
      <c r="BB45" s="6">
        <f t="shared" si="53"/>
        <v>-605291754.25759995</v>
      </c>
      <c r="BC45" s="6">
        <f t="shared" si="54"/>
        <v>-580649624.80079472</v>
      </c>
      <c r="BD45" s="6">
        <f t="shared" si="55"/>
        <v>-557507949.79202139</v>
      </c>
      <c r="BE45" s="6">
        <f t="shared" si="56"/>
        <v>-535857281.7009756</v>
      </c>
      <c r="BF45" s="6">
        <f t="shared" si="57"/>
        <v>-515671877.66377956</v>
      </c>
      <c r="BG45" s="6">
        <f t="shared" si="58"/>
        <v>-496910019.9500249</v>
      </c>
      <c r="BH45" s="6">
        <f t="shared" si="59"/>
        <v>-479514507.99584407</v>
      </c>
      <c r="BI45" s="6">
        <f t="shared" si="60"/>
        <v>-463413315.08701992</v>
      </c>
      <c r="BJ45" s="6">
        <f t="shared" si="61"/>
        <v>-448520401.19075841</v>
      </c>
      <c r="BK45" s="6">
        <f t="shared" si="62"/>
        <v>-434736671.99924439</v>
      </c>
      <c r="BL45" s="6">
        <f t="shared" si="63"/>
        <v>-421951072.96614468</v>
      </c>
      <c r="BM45" s="6">
        <f t="shared" si="64"/>
        <v>-410041805.98885709</v>
      </c>
      <c r="BN45" s="6">
        <f t="shared" si="65"/>
        <v>-398877655.41162437</v>
      </c>
      <c r="BO45" s="6">
        <f t="shared" si="66"/>
        <v>-388319409.1924212</v>
      </c>
      <c r="BP45" s="6">
        <f t="shared" si="67"/>
        <v>-378221360.38301134</v>
      </c>
      <c r="BQ45" s="6">
        <f t="shared" si="68"/>
        <v>-368432873.50925547</v>
      </c>
      <c r="BR45" s="6">
        <f t="shared" si="69"/>
        <v>-358800000</v>
      </c>
      <c r="BT45" s="16"/>
      <c r="BU45" s="37">
        <v>0.08</v>
      </c>
      <c r="BV45" s="2">
        <v>0</v>
      </c>
      <c r="BW45" s="2">
        <f t="shared" ref="BW45:CY45" si="109">$B$20/($B$21-$B$22*BV45)</f>
        <v>0.34883720930232553</v>
      </c>
      <c r="BX45" s="2">
        <f t="shared" si="109"/>
        <v>0.39716748768472904</v>
      </c>
      <c r="BY45" s="2">
        <f t="shared" si="109"/>
        <v>0.40494040593779607</v>
      </c>
      <c r="BZ45" s="2">
        <f t="shared" si="109"/>
        <v>0.4062190081621499</v>
      </c>
      <c r="CA45" s="2">
        <f t="shared" si="109"/>
        <v>0.40643010492156101</v>
      </c>
      <c r="CB45" s="2">
        <f t="shared" si="109"/>
        <v>0.40646497802255066</v>
      </c>
      <c r="CC45" s="2">
        <f t="shared" si="109"/>
        <v>0.40647073962099717</v>
      </c>
      <c r="CD45" s="2">
        <f t="shared" si="109"/>
        <v>0.40647169154566137</v>
      </c>
      <c r="CE45" s="2">
        <f t="shared" si="109"/>
        <v>0.40647184882198806</v>
      </c>
      <c r="CF45" s="2">
        <f t="shared" si="109"/>
        <v>0.40647187480708435</v>
      </c>
      <c r="CG45" s="2">
        <f t="shared" si="109"/>
        <v>0.40647187910032606</v>
      </c>
      <c r="CH45" s="2">
        <f t="shared" si="109"/>
        <v>0.40647187980965277</v>
      </c>
      <c r="CI45" s="2">
        <f t="shared" si="109"/>
        <v>0.4064718799268473</v>
      </c>
      <c r="CJ45" s="2">
        <f t="shared" si="109"/>
        <v>0.40647187994621015</v>
      </c>
      <c r="CK45" s="2">
        <f t="shared" si="109"/>
        <v>0.40647187994940925</v>
      </c>
      <c r="CL45" s="2">
        <f t="shared" si="109"/>
        <v>0.40647187994993778</v>
      </c>
      <c r="CM45" s="2">
        <f t="shared" si="109"/>
        <v>0.40647187995002515</v>
      </c>
      <c r="CN45" s="2">
        <f t="shared" si="109"/>
        <v>0.40647187995003953</v>
      </c>
      <c r="CO45" s="2">
        <f t="shared" si="109"/>
        <v>0.40647187995004191</v>
      </c>
      <c r="CP45" s="2">
        <f t="shared" si="109"/>
        <v>0.40647187995004236</v>
      </c>
      <c r="CQ45" s="2">
        <f t="shared" si="109"/>
        <v>0.40647187995004236</v>
      </c>
      <c r="CR45" s="2">
        <f t="shared" si="109"/>
        <v>0.40647187995004236</v>
      </c>
      <c r="CS45" s="2">
        <f t="shared" si="109"/>
        <v>0.40647187995004236</v>
      </c>
      <c r="CT45" s="2">
        <f t="shared" si="109"/>
        <v>0.40647187995004236</v>
      </c>
      <c r="CU45" s="2">
        <f t="shared" si="109"/>
        <v>0.40647187995004236</v>
      </c>
      <c r="CV45" s="2">
        <f t="shared" si="109"/>
        <v>0.40647187995004236</v>
      </c>
      <c r="CW45" s="2">
        <f t="shared" si="109"/>
        <v>0.40647187995004236</v>
      </c>
      <c r="CX45" s="2">
        <f t="shared" si="109"/>
        <v>0.40647187995004236</v>
      </c>
      <c r="CY45" s="2">
        <f t="shared" si="109"/>
        <v>0.40647187995004236</v>
      </c>
      <c r="CZ45" s="2">
        <f t="shared" si="71"/>
        <v>100</v>
      </c>
      <c r="DB45" s="16"/>
      <c r="DC45" s="37">
        <v>0.08</v>
      </c>
      <c r="DD45" s="2">
        <f t="shared" si="72"/>
        <v>300</v>
      </c>
      <c r="DE45" s="2">
        <f t="shared" si="73"/>
        <v>192.12476221558975</v>
      </c>
      <c r="DF45" s="2">
        <f t="shared" si="74"/>
        <v>172.24289966341598</v>
      </c>
      <c r="DG45" s="2">
        <f t="shared" si="75"/>
        <v>163.86648521607771</v>
      </c>
      <c r="DH45" s="2">
        <f t="shared" si="76"/>
        <v>157.31901025501361</v>
      </c>
      <c r="DI45" s="2">
        <f t="shared" si="77"/>
        <v>151.1358875511855</v>
      </c>
      <c r="DJ45" s="2">
        <f t="shared" si="78"/>
        <v>145.10569881589174</v>
      </c>
      <c r="DK45" s="2">
        <f t="shared" si="79"/>
        <v>139.21381896559839</v>
      </c>
      <c r="DL45" s="2">
        <f t="shared" si="80"/>
        <v>133.47556455661066</v>
      </c>
      <c r="DM45" s="2">
        <f t="shared" si="81"/>
        <v>127.90953294118482</v>
      </c>
      <c r="DN45" s="2">
        <f t="shared" si="82"/>
        <v>122.53319503750771</v>
      </c>
      <c r="DO45" s="2">
        <f t="shared" si="83"/>
        <v>117.3620380998202</v>
      </c>
      <c r="DP45" s="2">
        <f t="shared" si="84"/>
        <v>112.4092922854247</v>
      </c>
      <c r="DQ45" s="2">
        <f t="shared" si="85"/>
        <v>107.68577206391278</v>
      </c>
      <c r="DR45" s="2">
        <f t="shared" si="86"/>
        <v>103.19975929375262</v>
      </c>
      <c r="DS45" s="2">
        <f t="shared" si="87"/>
        <v>98.956917219902166</v>
      </c>
      <c r="DT45" s="2">
        <f t="shared" si="88"/>
        <v>94.96023423415312</v>
      </c>
      <c r="DU45" s="2">
        <f t="shared" si="89"/>
        <v>91.209997460546063</v>
      </c>
      <c r="DV45" s="2">
        <f t="shared" si="90"/>
        <v>87.703796131109428</v>
      </c>
      <c r="DW45" s="2">
        <f t="shared" si="91"/>
        <v>84.436554422384546</v>
      </c>
      <c r="DX45" s="2">
        <f t="shared" si="92"/>
        <v>81.400593111215741</v>
      </c>
      <c r="DY45" s="2">
        <f t="shared" si="93"/>
        <v>78.585719110312724</v>
      </c>
      <c r="DZ45" s="2">
        <f t="shared" si="94"/>
        <v>75.979341667075659</v>
      </c>
      <c r="EA45" s="2">
        <f t="shared" si="95"/>
        <v>73.566613755593892</v>
      </c>
      <c r="EB45" s="2">
        <f t="shared" si="96"/>
        <v>71.330596962786771</v>
      </c>
      <c r="EC45" s="2">
        <f t="shared" si="97"/>
        <v>69.252447965809509</v>
      </c>
      <c r="ED45" s="2">
        <f t="shared" si="98"/>
        <v>67.31162451900029</v>
      </c>
      <c r="EE45" s="2">
        <f t="shared" si="99"/>
        <v>65.486108714239862</v>
      </c>
      <c r="EF45" s="2">
        <f t="shared" si="100"/>
        <v>63.752645147744303</v>
      </c>
      <c r="EG45" s="2">
        <f t="shared" si="101"/>
        <v>62.086991517915067</v>
      </c>
      <c r="EH45" s="2">
        <f t="shared" si="102"/>
        <v>60.464179091732959</v>
      </c>
    </row>
    <row r="46" spans="5:138">
      <c r="E46" s="18"/>
      <c r="F46" s="37">
        <v>7.6666666666666675E-2</v>
      </c>
      <c r="G46">
        <f t="shared" si="10"/>
        <v>300</v>
      </c>
      <c r="H46">
        <f t="shared" si="11"/>
        <v>289.38593600154053</v>
      </c>
      <c r="I46">
        <f t="shared" si="12"/>
        <v>278.8153648530589</v>
      </c>
      <c r="J46">
        <f t="shared" si="13"/>
        <v>268.33129219841885</v>
      </c>
      <c r="K46">
        <f t="shared" si="14"/>
        <v>257.97575507539807</v>
      </c>
      <c r="L46">
        <f t="shared" si="15"/>
        <v>247.78935204382526</v>
      </c>
      <c r="M46">
        <f t="shared" si="16"/>
        <v>237.81079039726501</v>
      </c>
      <c r="N46">
        <f t="shared" si="17"/>
        <v>228.07645576842287</v>
      </c>
      <c r="O46">
        <f t="shared" si="18"/>
        <v>218.6200091196776</v>
      </c>
      <c r="P46">
        <f t="shared" si="19"/>
        <v>209.47201572462313</v>
      </c>
      <c r="Q46">
        <f t="shared" si="20"/>
        <v>200.65961030220848</v>
      </c>
      <c r="R46">
        <f t="shared" si="21"/>
        <v>192.20620197099819</v>
      </c>
      <c r="S46">
        <f t="shared" si="22"/>
        <v>184.13122215695722</v>
      </c>
      <c r="T46">
        <f t="shared" si="23"/>
        <v>176.44991802414302</v>
      </c>
      <c r="U46">
        <f t="shared" si="24"/>
        <v>169.17319341403328</v>
      </c>
      <c r="V46">
        <f t="shared" si="25"/>
        <v>162.30749868603738</v>
      </c>
      <c r="W46">
        <f t="shared" si="26"/>
        <v>155.85477025869542</v>
      </c>
      <c r="X46">
        <f t="shared" si="27"/>
        <v>149.81242006714524</v>
      </c>
      <c r="Y46">
        <f t="shared" si="28"/>
        <v>144.17337458572584</v>
      </c>
      <c r="Z46">
        <f t="shared" si="29"/>
        <v>138.92616252213375</v>
      </c>
      <c r="AA46">
        <f t="shared" si="30"/>
        <v>134.05504977723518</v>
      </c>
      <c r="AB46">
        <f t="shared" si="31"/>
        <v>129.54021978713746</v>
      </c>
      <c r="AC46">
        <f t="shared" si="32"/>
        <v>125.35799692487294</v>
      </c>
      <c r="AD46">
        <f t="shared" si="33"/>
        <v>121.48111024031033</v>
      </c>
      <c r="AE46">
        <f t="shared" si="34"/>
        <v>117.87899445985141</v>
      </c>
      <c r="AF46">
        <f t="shared" si="35"/>
        <v>114.51812485229161</v>
      </c>
      <c r="AG46">
        <f t="shared" si="36"/>
        <v>111.36238229332247</v>
      </c>
      <c r="AH46">
        <f t="shared" si="37"/>
        <v>108.37344462730428</v>
      </c>
      <c r="AI46">
        <f t="shared" si="38"/>
        <v>105.51120022948574</v>
      </c>
      <c r="AJ46">
        <f t="shared" si="103"/>
        <v>102.7341795129193</v>
      </c>
      <c r="AK46">
        <f t="shared" si="39"/>
        <v>100</v>
      </c>
      <c r="AL46" s="16"/>
      <c r="AM46" s="37">
        <v>7.6666666666666675E-2</v>
      </c>
      <c r="AN46" s="6">
        <f t="shared" si="40"/>
        <v>-1076400000</v>
      </c>
      <c r="AO46" s="6">
        <f t="shared" si="104"/>
        <v>-1038136677.9746189</v>
      </c>
      <c r="AP46" s="6">
        <f t="shared" si="41"/>
        <v>-1000031425.3282715</v>
      </c>
      <c r="AQ46" s="6">
        <f t="shared" si="42"/>
        <v>-962240539.30702293</v>
      </c>
      <c r="AR46" s="6">
        <f t="shared" si="43"/>
        <v>-924916794.0719341</v>
      </c>
      <c r="AS46" s="6">
        <f t="shared" si="44"/>
        <v>-888207731.79929316</v>
      </c>
      <c r="AT46" s="6">
        <f t="shared" si="45"/>
        <v>-852254016.09203327</v>
      </c>
      <c r="AU46" s="6">
        <f t="shared" si="46"/>
        <v>-817187867.05949998</v>
      </c>
      <c r="AV46" s="6">
        <f t="shared" si="47"/>
        <v>-783131596.25112343</v>
      </c>
      <c r="AW46" s="6">
        <f t="shared" si="48"/>
        <v>-750196258.21321893</v>
      </c>
      <c r="AX46" s="6">
        <f t="shared" si="49"/>
        <v>-718480433.8067379</v>
      </c>
      <c r="AY46" s="6">
        <f t="shared" si="50"/>
        <v>-688069158.61086047</v>
      </c>
      <c r="AZ46" s="6">
        <f t="shared" si="51"/>
        <v>-659033007.77888405</v>
      </c>
      <c r="BA46" s="6">
        <f t="shared" si="52"/>
        <v>-631427346.64662886</v>
      </c>
      <c r="BB46" s="6">
        <f t="shared" si="53"/>
        <v>-605291754.25759995</v>
      </c>
      <c r="BC46" s="6">
        <f t="shared" si="54"/>
        <v>-580649624.80079472</v>
      </c>
      <c r="BD46" s="6">
        <f t="shared" si="55"/>
        <v>-557507949.79202139</v>
      </c>
      <c r="BE46" s="6">
        <f t="shared" si="56"/>
        <v>-535857281.7009756</v>
      </c>
      <c r="BF46" s="6">
        <f t="shared" si="57"/>
        <v>-515671877.66377944</v>
      </c>
      <c r="BG46" s="6">
        <f t="shared" si="58"/>
        <v>-496910019.9500249</v>
      </c>
      <c r="BH46" s="6">
        <f t="shared" si="59"/>
        <v>-479514507.99584407</v>
      </c>
      <c r="BI46" s="6">
        <f t="shared" si="60"/>
        <v>-463413315.08701992</v>
      </c>
      <c r="BJ46" s="6">
        <f t="shared" si="61"/>
        <v>-448520401.19075841</v>
      </c>
      <c r="BK46" s="6">
        <f t="shared" si="62"/>
        <v>-434736671.99924439</v>
      </c>
      <c r="BL46" s="6">
        <f t="shared" si="63"/>
        <v>-421951072.96614468</v>
      </c>
      <c r="BM46" s="6">
        <f t="shared" si="64"/>
        <v>-410041805.98885709</v>
      </c>
      <c r="BN46" s="6">
        <f t="shared" si="65"/>
        <v>-398877655.41162437</v>
      </c>
      <c r="BO46" s="6">
        <f t="shared" si="66"/>
        <v>-388319409.1924212</v>
      </c>
      <c r="BP46" s="6">
        <f t="shared" si="67"/>
        <v>-378221360.38301134</v>
      </c>
      <c r="BQ46" s="6">
        <f t="shared" si="68"/>
        <v>-368432873.50925547</v>
      </c>
      <c r="BR46" s="6">
        <f t="shared" si="69"/>
        <v>-358800000</v>
      </c>
      <c r="BT46" s="16"/>
      <c r="BU46" s="37">
        <v>7.6666666666666675E-2</v>
      </c>
      <c r="BV46" s="2">
        <v>0</v>
      </c>
      <c r="BW46" s="2">
        <f t="shared" ref="BW46:CY46" si="110">$B$20/($B$21-$B$22*BV46)</f>
        <v>0.34883720930232553</v>
      </c>
      <c r="BX46" s="2">
        <f t="shared" si="110"/>
        <v>0.39716748768472904</v>
      </c>
      <c r="BY46" s="2">
        <f t="shared" si="110"/>
        <v>0.40494040593779607</v>
      </c>
      <c r="BZ46" s="2">
        <f t="shared" si="110"/>
        <v>0.4062190081621499</v>
      </c>
      <c r="CA46" s="2">
        <f t="shared" si="110"/>
        <v>0.40643010492156101</v>
      </c>
      <c r="CB46" s="2">
        <f t="shared" si="110"/>
        <v>0.40646497802255066</v>
      </c>
      <c r="CC46" s="2">
        <f t="shared" si="110"/>
        <v>0.40647073962099717</v>
      </c>
      <c r="CD46" s="2">
        <f t="shared" si="110"/>
        <v>0.40647169154566137</v>
      </c>
      <c r="CE46" s="2">
        <f t="shared" si="110"/>
        <v>0.40647184882198806</v>
      </c>
      <c r="CF46" s="2">
        <f t="shared" si="110"/>
        <v>0.40647187480708435</v>
      </c>
      <c r="CG46" s="2">
        <f t="shared" si="110"/>
        <v>0.40647187910032606</v>
      </c>
      <c r="CH46" s="2">
        <f t="shared" si="110"/>
        <v>0.40647187980965277</v>
      </c>
      <c r="CI46" s="2">
        <f t="shared" si="110"/>
        <v>0.4064718799268473</v>
      </c>
      <c r="CJ46" s="2">
        <f t="shared" si="110"/>
        <v>0.40647187994621015</v>
      </c>
      <c r="CK46" s="2">
        <f t="shared" si="110"/>
        <v>0.40647187994940925</v>
      </c>
      <c r="CL46" s="2">
        <f t="shared" si="110"/>
        <v>0.40647187994993778</v>
      </c>
      <c r="CM46" s="2">
        <f t="shared" si="110"/>
        <v>0.40647187995002515</v>
      </c>
      <c r="CN46" s="2">
        <f t="shared" si="110"/>
        <v>0.40647187995003953</v>
      </c>
      <c r="CO46" s="2">
        <f t="shared" si="110"/>
        <v>0.40647187995004191</v>
      </c>
      <c r="CP46" s="2">
        <f t="shared" si="110"/>
        <v>0.40647187995004236</v>
      </c>
      <c r="CQ46" s="2">
        <f t="shared" si="110"/>
        <v>0.40647187995004236</v>
      </c>
      <c r="CR46" s="2">
        <f t="shared" si="110"/>
        <v>0.40647187995004236</v>
      </c>
      <c r="CS46" s="2">
        <f t="shared" si="110"/>
        <v>0.40647187995004236</v>
      </c>
      <c r="CT46" s="2">
        <f t="shared" si="110"/>
        <v>0.40647187995004236</v>
      </c>
      <c r="CU46" s="2">
        <f t="shared" si="110"/>
        <v>0.40647187995004236</v>
      </c>
      <c r="CV46" s="2">
        <f t="shared" si="110"/>
        <v>0.40647187995004236</v>
      </c>
      <c r="CW46" s="2">
        <f t="shared" si="110"/>
        <v>0.40647187995004236</v>
      </c>
      <c r="CX46" s="2">
        <f t="shared" si="110"/>
        <v>0.40647187995004236</v>
      </c>
      <c r="CY46" s="2">
        <f t="shared" si="110"/>
        <v>0.40647187995004236</v>
      </c>
      <c r="CZ46" s="2">
        <f t="shared" si="71"/>
        <v>100</v>
      </c>
      <c r="DB46" s="16"/>
      <c r="DC46" s="37">
        <v>7.6666666666666675E-2</v>
      </c>
      <c r="DD46" s="2">
        <f t="shared" si="72"/>
        <v>300</v>
      </c>
      <c r="DE46" s="2">
        <f t="shared" si="73"/>
        <v>192.12476221558975</v>
      </c>
      <c r="DF46" s="2">
        <f t="shared" si="74"/>
        <v>172.24289966341598</v>
      </c>
      <c r="DG46" s="2">
        <f t="shared" si="75"/>
        <v>163.86648521607771</v>
      </c>
      <c r="DH46" s="2">
        <f t="shared" si="76"/>
        <v>157.31901025501361</v>
      </c>
      <c r="DI46" s="2">
        <f t="shared" si="77"/>
        <v>151.1358875511855</v>
      </c>
      <c r="DJ46" s="2">
        <f t="shared" si="78"/>
        <v>145.10569881589174</v>
      </c>
      <c r="DK46" s="2">
        <f t="shared" si="79"/>
        <v>139.21381896559836</v>
      </c>
      <c r="DL46" s="2">
        <f t="shared" si="80"/>
        <v>133.47556455661066</v>
      </c>
      <c r="DM46" s="2">
        <f t="shared" si="81"/>
        <v>127.90953294118482</v>
      </c>
      <c r="DN46" s="2">
        <f t="shared" si="82"/>
        <v>122.53319503750771</v>
      </c>
      <c r="DO46" s="2">
        <f t="shared" si="83"/>
        <v>117.3620380998202</v>
      </c>
      <c r="DP46" s="2">
        <f t="shared" si="84"/>
        <v>112.4092922854247</v>
      </c>
      <c r="DQ46" s="2">
        <f t="shared" si="85"/>
        <v>107.68577206391278</v>
      </c>
      <c r="DR46" s="2">
        <f t="shared" si="86"/>
        <v>103.19975929375262</v>
      </c>
      <c r="DS46" s="2">
        <f t="shared" si="87"/>
        <v>98.956917219902166</v>
      </c>
      <c r="DT46" s="2">
        <f t="shared" si="88"/>
        <v>94.96023423415312</v>
      </c>
      <c r="DU46" s="2">
        <f t="shared" si="89"/>
        <v>91.209997460546063</v>
      </c>
      <c r="DV46" s="2">
        <f t="shared" si="90"/>
        <v>87.703796131109399</v>
      </c>
      <c r="DW46" s="2">
        <f t="shared" si="91"/>
        <v>84.436554422384518</v>
      </c>
      <c r="DX46" s="2">
        <f t="shared" si="92"/>
        <v>81.400593111215727</v>
      </c>
      <c r="DY46" s="2">
        <f t="shared" si="93"/>
        <v>78.585719110312724</v>
      </c>
      <c r="DZ46" s="2">
        <f t="shared" si="94"/>
        <v>75.979341667075659</v>
      </c>
      <c r="EA46" s="2">
        <f t="shared" si="95"/>
        <v>73.566613755593892</v>
      </c>
      <c r="EB46" s="2">
        <f t="shared" si="96"/>
        <v>71.330596962786771</v>
      </c>
      <c r="EC46" s="2">
        <f t="shared" si="97"/>
        <v>69.252447965809509</v>
      </c>
      <c r="ED46" s="2">
        <f t="shared" si="98"/>
        <v>67.31162451900029</v>
      </c>
      <c r="EE46" s="2">
        <f t="shared" si="99"/>
        <v>65.486108714239862</v>
      </c>
      <c r="EF46" s="2">
        <f t="shared" si="100"/>
        <v>63.752645147744303</v>
      </c>
      <c r="EG46" s="2">
        <f t="shared" si="101"/>
        <v>62.086991517915067</v>
      </c>
      <c r="EH46" s="2">
        <f t="shared" si="102"/>
        <v>60.464179091732959</v>
      </c>
    </row>
    <row r="47" spans="5:138">
      <c r="E47" s="18"/>
      <c r="F47" s="37">
        <v>7.3333333333333334E-2</v>
      </c>
      <c r="G47">
        <f t="shared" si="10"/>
        <v>300</v>
      </c>
      <c r="H47">
        <f t="shared" si="11"/>
        <v>289.38593600154053</v>
      </c>
      <c r="I47">
        <f t="shared" si="12"/>
        <v>278.8153648530589</v>
      </c>
      <c r="J47">
        <f t="shared" si="13"/>
        <v>268.33129219841885</v>
      </c>
      <c r="K47">
        <f t="shared" si="14"/>
        <v>257.97575507539807</v>
      </c>
      <c r="L47">
        <f t="shared" si="15"/>
        <v>247.78935204382523</v>
      </c>
      <c r="M47">
        <f t="shared" si="16"/>
        <v>237.8107903972649</v>
      </c>
      <c r="N47">
        <f t="shared" si="17"/>
        <v>228.07645576842282</v>
      </c>
      <c r="O47">
        <f t="shared" si="18"/>
        <v>218.62000911967758</v>
      </c>
      <c r="P47">
        <f t="shared" si="19"/>
        <v>209.47201572462313</v>
      </c>
      <c r="Q47">
        <f t="shared" si="20"/>
        <v>200.65961030220848</v>
      </c>
      <c r="R47">
        <f t="shared" si="21"/>
        <v>192.20620197099819</v>
      </c>
      <c r="S47">
        <f t="shared" si="22"/>
        <v>184.13122215695722</v>
      </c>
      <c r="T47">
        <f t="shared" si="23"/>
        <v>176.44991802414302</v>
      </c>
      <c r="U47">
        <f t="shared" si="24"/>
        <v>169.17319341403325</v>
      </c>
      <c r="V47">
        <f t="shared" si="25"/>
        <v>162.30749868603735</v>
      </c>
      <c r="W47">
        <f t="shared" si="26"/>
        <v>155.85477025869542</v>
      </c>
      <c r="X47">
        <f t="shared" si="27"/>
        <v>149.81242006714524</v>
      </c>
      <c r="Y47">
        <f t="shared" si="28"/>
        <v>144.17337458572584</v>
      </c>
      <c r="Z47">
        <f t="shared" si="29"/>
        <v>138.92616252213375</v>
      </c>
      <c r="AA47">
        <f t="shared" si="30"/>
        <v>134.05504977723518</v>
      </c>
      <c r="AB47">
        <f t="shared" si="31"/>
        <v>129.54021978713746</v>
      </c>
      <c r="AC47">
        <f t="shared" si="32"/>
        <v>125.35799692487294</v>
      </c>
      <c r="AD47">
        <f t="shared" si="33"/>
        <v>121.48111024031033</v>
      </c>
      <c r="AE47">
        <f t="shared" si="34"/>
        <v>117.87899445985141</v>
      </c>
      <c r="AF47">
        <f t="shared" si="35"/>
        <v>114.51812485229161</v>
      </c>
      <c r="AG47">
        <f t="shared" si="36"/>
        <v>111.36238229332247</v>
      </c>
      <c r="AH47">
        <f t="shared" si="37"/>
        <v>108.37344462730425</v>
      </c>
      <c r="AI47">
        <f t="shared" si="38"/>
        <v>105.51120022948574</v>
      </c>
      <c r="AJ47">
        <f t="shared" si="103"/>
        <v>102.7341795129193</v>
      </c>
      <c r="AK47">
        <f t="shared" si="39"/>
        <v>100</v>
      </c>
      <c r="AL47" s="16"/>
      <c r="AM47" s="37">
        <v>7.3333333333333334E-2</v>
      </c>
      <c r="AN47" s="6">
        <f t="shared" si="40"/>
        <v>-1076400000</v>
      </c>
      <c r="AO47" s="6">
        <f t="shared" si="104"/>
        <v>-1038136677.9746189</v>
      </c>
      <c r="AP47" s="6">
        <f t="shared" si="41"/>
        <v>-1000031425.3282715</v>
      </c>
      <c r="AQ47" s="6">
        <f t="shared" si="42"/>
        <v>-962240539.30702293</v>
      </c>
      <c r="AR47" s="6">
        <f t="shared" si="43"/>
        <v>-924916794.0719341</v>
      </c>
      <c r="AS47" s="6">
        <f t="shared" si="44"/>
        <v>-888207731.79929292</v>
      </c>
      <c r="AT47" s="6">
        <f t="shared" si="45"/>
        <v>-852254016.09203303</v>
      </c>
      <c r="AU47" s="6">
        <f t="shared" si="46"/>
        <v>-817187867.05949986</v>
      </c>
      <c r="AV47" s="6">
        <f t="shared" si="47"/>
        <v>-783131596.25112343</v>
      </c>
      <c r="AW47" s="6">
        <f t="shared" si="48"/>
        <v>-750196258.21321893</v>
      </c>
      <c r="AX47" s="6">
        <f t="shared" si="49"/>
        <v>-718480433.8067379</v>
      </c>
      <c r="AY47" s="6">
        <f t="shared" si="50"/>
        <v>-688069158.61086047</v>
      </c>
      <c r="AZ47" s="6">
        <f t="shared" si="51"/>
        <v>-659033007.77888405</v>
      </c>
      <c r="BA47" s="6">
        <f t="shared" si="52"/>
        <v>-631427346.64662886</v>
      </c>
      <c r="BB47" s="6">
        <f t="shared" si="53"/>
        <v>-605291754.25759995</v>
      </c>
      <c r="BC47" s="6">
        <f t="shared" si="54"/>
        <v>-580649624.80079448</v>
      </c>
      <c r="BD47" s="6">
        <f t="shared" si="55"/>
        <v>-557507949.79202139</v>
      </c>
      <c r="BE47" s="6">
        <f t="shared" si="56"/>
        <v>-535857281.7009756</v>
      </c>
      <c r="BF47" s="6">
        <f t="shared" si="57"/>
        <v>-515671877.66377932</v>
      </c>
      <c r="BG47" s="6">
        <f t="shared" si="58"/>
        <v>-496910019.95002478</v>
      </c>
      <c r="BH47" s="6">
        <f t="shared" si="59"/>
        <v>-479514507.99584407</v>
      </c>
      <c r="BI47" s="6">
        <f t="shared" si="60"/>
        <v>-463413315.08701992</v>
      </c>
      <c r="BJ47" s="6">
        <f t="shared" si="61"/>
        <v>-448520401.19075841</v>
      </c>
      <c r="BK47" s="6">
        <f t="shared" si="62"/>
        <v>-434736671.99924439</v>
      </c>
      <c r="BL47" s="6">
        <f t="shared" si="63"/>
        <v>-421951072.96614468</v>
      </c>
      <c r="BM47" s="6">
        <f t="shared" si="64"/>
        <v>-410041805.98885697</v>
      </c>
      <c r="BN47" s="6">
        <f t="shared" si="65"/>
        <v>-398877655.41162431</v>
      </c>
      <c r="BO47" s="6">
        <f t="shared" si="66"/>
        <v>-388319409.19242114</v>
      </c>
      <c r="BP47" s="6">
        <f t="shared" si="67"/>
        <v>-378221360.38301134</v>
      </c>
      <c r="BQ47" s="6">
        <f t="shared" si="68"/>
        <v>-368432873.50925547</v>
      </c>
      <c r="BR47" s="6">
        <f t="shared" si="69"/>
        <v>-358800000</v>
      </c>
      <c r="BT47" s="16"/>
      <c r="BU47" s="37">
        <v>7.3333333333333334E-2</v>
      </c>
      <c r="BV47" s="2">
        <v>0</v>
      </c>
      <c r="BW47" s="2">
        <f t="shared" ref="BW47:CY47" si="111">$B$20/($B$21-$B$22*BV47)</f>
        <v>0.34883720930232553</v>
      </c>
      <c r="BX47" s="2">
        <f t="shared" si="111"/>
        <v>0.39716748768472904</v>
      </c>
      <c r="BY47" s="2">
        <f t="shared" si="111"/>
        <v>0.40494040593779607</v>
      </c>
      <c r="BZ47" s="2">
        <f t="shared" si="111"/>
        <v>0.4062190081621499</v>
      </c>
      <c r="CA47" s="2">
        <f t="shared" si="111"/>
        <v>0.40643010492156101</v>
      </c>
      <c r="CB47" s="2">
        <f t="shared" si="111"/>
        <v>0.40646497802255066</v>
      </c>
      <c r="CC47" s="2">
        <f t="shared" si="111"/>
        <v>0.40647073962099717</v>
      </c>
      <c r="CD47" s="2">
        <f t="shared" si="111"/>
        <v>0.40647169154566137</v>
      </c>
      <c r="CE47" s="2">
        <f t="shared" si="111"/>
        <v>0.40647184882198806</v>
      </c>
      <c r="CF47" s="2">
        <f t="shared" si="111"/>
        <v>0.40647187480708435</v>
      </c>
      <c r="CG47" s="2">
        <f t="shared" si="111"/>
        <v>0.40647187910032606</v>
      </c>
      <c r="CH47" s="2">
        <f t="shared" si="111"/>
        <v>0.40647187980965277</v>
      </c>
      <c r="CI47" s="2">
        <f t="shared" si="111"/>
        <v>0.4064718799268473</v>
      </c>
      <c r="CJ47" s="2">
        <f t="shared" si="111"/>
        <v>0.40647187994621015</v>
      </c>
      <c r="CK47" s="2">
        <f t="shared" si="111"/>
        <v>0.40647187994940925</v>
      </c>
      <c r="CL47" s="2">
        <f t="shared" si="111"/>
        <v>0.40647187994993778</v>
      </c>
      <c r="CM47" s="2">
        <f t="shared" si="111"/>
        <v>0.40647187995002515</v>
      </c>
      <c r="CN47" s="2">
        <f t="shared" si="111"/>
        <v>0.40647187995003953</v>
      </c>
      <c r="CO47" s="2">
        <f t="shared" si="111"/>
        <v>0.40647187995004191</v>
      </c>
      <c r="CP47" s="2">
        <f t="shared" si="111"/>
        <v>0.40647187995004236</v>
      </c>
      <c r="CQ47" s="2">
        <f t="shared" si="111"/>
        <v>0.40647187995004236</v>
      </c>
      <c r="CR47" s="2">
        <f t="shared" si="111"/>
        <v>0.40647187995004236</v>
      </c>
      <c r="CS47" s="2">
        <f t="shared" si="111"/>
        <v>0.40647187995004236</v>
      </c>
      <c r="CT47" s="2">
        <f t="shared" si="111"/>
        <v>0.40647187995004236</v>
      </c>
      <c r="CU47" s="2">
        <f t="shared" si="111"/>
        <v>0.40647187995004236</v>
      </c>
      <c r="CV47" s="2">
        <f t="shared" si="111"/>
        <v>0.40647187995004236</v>
      </c>
      <c r="CW47" s="2">
        <f t="shared" si="111"/>
        <v>0.40647187995004236</v>
      </c>
      <c r="CX47" s="2">
        <f t="shared" si="111"/>
        <v>0.40647187995004236</v>
      </c>
      <c r="CY47" s="2">
        <f t="shared" si="111"/>
        <v>0.40647187995004236</v>
      </c>
      <c r="CZ47" s="2">
        <f t="shared" si="71"/>
        <v>100</v>
      </c>
      <c r="DB47" s="16"/>
      <c r="DC47" s="37">
        <v>7.3333333333333334E-2</v>
      </c>
      <c r="DD47" s="2">
        <f t="shared" si="72"/>
        <v>300</v>
      </c>
      <c r="DE47" s="2">
        <f t="shared" si="73"/>
        <v>192.12476221558975</v>
      </c>
      <c r="DF47" s="2">
        <f t="shared" si="74"/>
        <v>172.24289966341598</v>
      </c>
      <c r="DG47" s="2">
        <f t="shared" si="75"/>
        <v>163.86648521607771</v>
      </c>
      <c r="DH47" s="2">
        <f t="shared" si="76"/>
        <v>157.31901025501361</v>
      </c>
      <c r="DI47" s="2">
        <f t="shared" si="77"/>
        <v>151.1358875511855</v>
      </c>
      <c r="DJ47" s="2">
        <f t="shared" si="78"/>
        <v>145.10569881589169</v>
      </c>
      <c r="DK47" s="2">
        <f t="shared" si="79"/>
        <v>139.21381896559834</v>
      </c>
      <c r="DL47" s="2">
        <f t="shared" si="80"/>
        <v>133.47556455661064</v>
      </c>
      <c r="DM47" s="2">
        <f t="shared" si="81"/>
        <v>127.90953294118479</v>
      </c>
      <c r="DN47" s="2">
        <f t="shared" si="82"/>
        <v>122.53319503750771</v>
      </c>
      <c r="DO47" s="2">
        <f t="shared" si="83"/>
        <v>117.3620380998202</v>
      </c>
      <c r="DP47" s="2">
        <f t="shared" si="84"/>
        <v>112.4092922854247</v>
      </c>
      <c r="DQ47" s="2">
        <f t="shared" si="85"/>
        <v>107.68577206391278</v>
      </c>
      <c r="DR47" s="2">
        <f t="shared" si="86"/>
        <v>103.19975929375262</v>
      </c>
      <c r="DS47" s="2">
        <f t="shared" si="87"/>
        <v>98.956917219902138</v>
      </c>
      <c r="DT47" s="2">
        <f t="shared" si="88"/>
        <v>94.960234234153106</v>
      </c>
      <c r="DU47" s="2">
        <f t="shared" si="89"/>
        <v>91.209997460546063</v>
      </c>
      <c r="DV47" s="2">
        <f t="shared" si="90"/>
        <v>87.703796131109399</v>
      </c>
      <c r="DW47" s="2">
        <f t="shared" si="91"/>
        <v>84.436554422384518</v>
      </c>
      <c r="DX47" s="2">
        <f t="shared" si="92"/>
        <v>81.400593111215727</v>
      </c>
      <c r="DY47" s="2">
        <f t="shared" si="93"/>
        <v>78.585719110312724</v>
      </c>
      <c r="DZ47" s="2">
        <f t="shared" si="94"/>
        <v>75.979341667075659</v>
      </c>
      <c r="EA47" s="2">
        <f t="shared" si="95"/>
        <v>73.566613755593892</v>
      </c>
      <c r="EB47" s="2">
        <f t="shared" si="96"/>
        <v>71.330596962786771</v>
      </c>
      <c r="EC47" s="2">
        <f t="shared" si="97"/>
        <v>69.252447965809509</v>
      </c>
      <c r="ED47" s="2">
        <f t="shared" si="98"/>
        <v>67.31162451900029</v>
      </c>
      <c r="EE47" s="2">
        <f t="shared" si="99"/>
        <v>65.486108714239847</v>
      </c>
      <c r="EF47" s="2">
        <f t="shared" si="100"/>
        <v>63.752645147744303</v>
      </c>
      <c r="EG47" s="2">
        <f t="shared" si="101"/>
        <v>62.086991517915067</v>
      </c>
      <c r="EH47" s="2">
        <f t="shared" si="102"/>
        <v>60.464179091732959</v>
      </c>
    </row>
    <row r="48" spans="5:138">
      <c r="E48" s="18"/>
      <c r="F48" s="37">
        <v>7.0000000000000007E-2</v>
      </c>
      <c r="G48">
        <f t="shared" si="10"/>
        <v>300</v>
      </c>
      <c r="H48">
        <f t="shared" si="11"/>
        <v>289.38593600154047</v>
      </c>
      <c r="I48">
        <f t="shared" si="12"/>
        <v>278.8153648530589</v>
      </c>
      <c r="J48">
        <f t="shared" si="13"/>
        <v>268.33129219841879</v>
      </c>
      <c r="K48">
        <f t="shared" si="14"/>
        <v>257.97575507539801</v>
      </c>
      <c r="L48">
        <f t="shared" si="15"/>
        <v>247.78935204382515</v>
      </c>
      <c r="M48">
        <f t="shared" si="16"/>
        <v>237.81079039726484</v>
      </c>
      <c r="N48">
        <f t="shared" si="17"/>
        <v>228.0764557684227</v>
      </c>
      <c r="O48">
        <f t="shared" si="18"/>
        <v>218.62000911967746</v>
      </c>
      <c r="P48">
        <f t="shared" si="19"/>
        <v>209.47201572462305</v>
      </c>
      <c r="Q48">
        <f t="shared" si="20"/>
        <v>200.65961030220842</v>
      </c>
      <c r="R48">
        <f t="shared" si="21"/>
        <v>192.20620197099817</v>
      </c>
      <c r="S48">
        <f t="shared" si="22"/>
        <v>184.13122215695722</v>
      </c>
      <c r="T48">
        <f t="shared" si="23"/>
        <v>176.44991802414299</v>
      </c>
      <c r="U48">
        <f t="shared" si="24"/>
        <v>169.17319341403322</v>
      </c>
      <c r="V48">
        <f t="shared" si="25"/>
        <v>162.30749868603726</v>
      </c>
      <c r="W48">
        <f t="shared" si="26"/>
        <v>155.85477025869537</v>
      </c>
      <c r="X48">
        <f t="shared" si="27"/>
        <v>149.81242006714518</v>
      </c>
      <c r="Y48">
        <f t="shared" si="28"/>
        <v>144.17337458572581</v>
      </c>
      <c r="Z48">
        <f t="shared" si="29"/>
        <v>138.92616252213372</v>
      </c>
      <c r="AA48">
        <f t="shared" si="30"/>
        <v>134.05504977723513</v>
      </c>
      <c r="AB48">
        <f t="shared" si="31"/>
        <v>129.54021978713743</v>
      </c>
      <c r="AC48">
        <f t="shared" si="32"/>
        <v>125.35799692487294</v>
      </c>
      <c r="AD48">
        <f t="shared" si="33"/>
        <v>121.48111024031031</v>
      </c>
      <c r="AE48">
        <f t="shared" si="34"/>
        <v>117.8789944598514</v>
      </c>
      <c r="AF48">
        <f t="shared" si="35"/>
        <v>114.51812485229158</v>
      </c>
      <c r="AG48">
        <f t="shared" si="36"/>
        <v>111.36238229332245</v>
      </c>
      <c r="AH48">
        <f t="shared" si="37"/>
        <v>108.37344462730425</v>
      </c>
      <c r="AI48">
        <f t="shared" si="38"/>
        <v>105.51120022948572</v>
      </c>
      <c r="AJ48">
        <f t="shared" si="103"/>
        <v>102.7341795129193</v>
      </c>
      <c r="AK48">
        <f t="shared" si="39"/>
        <v>100</v>
      </c>
      <c r="AL48" s="16"/>
      <c r="AM48" s="37">
        <v>7.0000000000000007E-2</v>
      </c>
      <c r="AN48" s="6">
        <f t="shared" si="40"/>
        <v>-1076400000</v>
      </c>
      <c r="AO48" s="6">
        <f t="shared" si="104"/>
        <v>-1038136677.9746188</v>
      </c>
      <c r="AP48" s="6">
        <f t="shared" si="41"/>
        <v>-1000031425.3282715</v>
      </c>
      <c r="AQ48" s="6">
        <f t="shared" si="42"/>
        <v>-962240539.30702293</v>
      </c>
      <c r="AR48" s="6">
        <f t="shared" si="43"/>
        <v>-924916794.07193398</v>
      </c>
      <c r="AS48" s="6">
        <f t="shared" si="44"/>
        <v>-888207731.79929268</v>
      </c>
      <c r="AT48" s="6">
        <f t="shared" si="45"/>
        <v>-852254016.09203291</v>
      </c>
      <c r="AU48" s="6">
        <f t="shared" si="46"/>
        <v>-817187867.0594995</v>
      </c>
      <c r="AV48" s="6">
        <f t="shared" si="47"/>
        <v>-783131596.25112307</v>
      </c>
      <c r="AW48" s="6">
        <f t="shared" si="48"/>
        <v>-750196258.21321881</v>
      </c>
      <c r="AX48" s="6">
        <f t="shared" si="49"/>
        <v>-718480433.80673766</v>
      </c>
      <c r="AY48" s="6">
        <f t="shared" si="50"/>
        <v>-688069158.61086035</v>
      </c>
      <c r="AZ48" s="6">
        <f t="shared" si="51"/>
        <v>-659033007.77888381</v>
      </c>
      <c r="BA48" s="6">
        <f t="shared" si="52"/>
        <v>-631427346.64662862</v>
      </c>
      <c r="BB48" s="6">
        <f t="shared" si="53"/>
        <v>-605291754.25759983</v>
      </c>
      <c r="BC48" s="6">
        <f t="shared" si="54"/>
        <v>-580649624.80079424</v>
      </c>
      <c r="BD48" s="6">
        <f t="shared" si="55"/>
        <v>-557507949.79202139</v>
      </c>
      <c r="BE48" s="6">
        <f t="shared" si="56"/>
        <v>-535857281.70097548</v>
      </c>
      <c r="BF48" s="6">
        <f t="shared" si="57"/>
        <v>-515671877.6637792</v>
      </c>
      <c r="BG48" s="6">
        <f t="shared" si="58"/>
        <v>-496910019.95002466</v>
      </c>
      <c r="BH48" s="6">
        <f t="shared" si="59"/>
        <v>-479514507.99584389</v>
      </c>
      <c r="BI48" s="6">
        <f t="shared" si="60"/>
        <v>-463413315.08701986</v>
      </c>
      <c r="BJ48" s="6">
        <f t="shared" si="61"/>
        <v>-448520401.19075829</v>
      </c>
      <c r="BK48" s="6">
        <f t="shared" si="62"/>
        <v>-434736671.99924433</v>
      </c>
      <c r="BL48" s="6">
        <f t="shared" si="63"/>
        <v>-421951072.96614468</v>
      </c>
      <c r="BM48" s="6">
        <f t="shared" si="64"/>
        <v>-410041805.98885691</v>
      </c>
      <c r="BN48" s="6">
        <f t="shared" si="65"/>
        <v>-398877655.41162425</v>
      </c>
      <c r="BO48" s="6">
        <f t="shared" si="66"/>
        <v>-388319409.19242108</v>
      </c>
      <c r="BP48" s="6">
        <f t="shared" si="67"/>
        <v>-378221360.38301122</v>
      </c>
      <c r="BQ48" s="6">
        <f t="shared" si="68"/>
        <v>-368432873.50925535</v>
      </c>
      <c r="BR48" s="6">
        <f t="shared" si="69"/>
        <v>-358800000</v>
      </c>
      <c r="BT48" s="16"/>
      <c r="BU48" s="37">
        <v>7.0000000000000007E-2</v>
      </c>
      <c r="BV48" s="2">
        <v>0</v>
      </c>
      <c r="BW48" s="2">
        <f t="shared" ref="BW48:CY48" si="112">$B$20/($B$21-$B$22*BV48)</f>
        <v>0.34883720930232553</v>
      </c>
      <c r="BX48" s="2">
        <f t="shared" si="112"/>
        <v>0.39716748768472904</v>
      </c>
      <c r="BY48" s="2">
        <f t="shared" si="112"/>
        <v>0.40494040593779607</v>
      </c>
      <c r="BZ48" s="2">
        <f t="shared" si="112"/>
        <v>0.4062190081621499</v>
      </c>
      <c r="CA48" s="2">
        <f t="shared" si="112"/>
        <v>0.40643010492156101</v>
      </c>
      <c r="CB48" s="2">
        <f t="shared" si="112"/>
        <v>0.40646497802255066</v>
      </c>
      <c r="CC48" s="2">
        <f t="shared" si="112"/>
        <v>0.40647073962099717</v>
      </c>
      <c r="CD48" s="2">
        <f t="shared" si="112"/>
        <v>0.40647169154566137</v>
      </c>
      <c r="CE48" s="2">
        <f t="shared" si="112"/>
        <v>0.40647184882198806</v>
      </c>
      <c r="CF48" s="2">
        <f t="shared" si="112"/>
        <v>0.40647187480708435</v>
      </c>
      <c r="CG48" s="2">
        <f t="shared" si="112"/>
        <v>0.40647187910032606</v>
      </c>
      <c r="CH48" s="2">
        <f t="shared" si="112"/>
        <v>0.40647187980965277</v>
      </c>
      <c r="CI48" s="2">
        <f t="shared" si="112"/>
        <v>0.4064718799268473</v>
      </c>
      <c r="CJ48" s="2">
        <f t="shared" si="112"/>
        <v>0.40647187994621015</v>
      </c>
      <c r="CK48" s="2">
        <f t="shared" si="112"/>
        <v>0.40647187994940925</v>
      </c>
      <c r="CL48" s="2">
        <f t="shared" si="112"/>
        <v>0.40647187994993778</v>
      </c>
      <c r="CM48" s="2">
        <f t="shared" si="112"/>
        <v>0.40647187995002515</v>
      </c>
      <c r="CN48" s="2">
        <f t="shared" si="112"/>
        <v>0.40647187995003953</v>
      </c>
      <c r="CO48" s="2">
        <f t="shared" si="112"/>
        <v>0.40647187995004191</v>
      </c>
      <c r="CP48" s="2">
        <f t="shared" si="112"/>
        <v>0.40647187995004236</v>
      </c>
      <c r="CQ48" s="2">
        <f t="shared" si="112"/>
        <v>0.40647187995004236</v>
      </c>
      <c r="CR48" s="2">
        <f t="shared" si="112"/>
        <v>0.40647187995004236</v>
      </c>
      <c r="CS48" s="2">
        <f t="shared" si="112"/>
        <v>0.40647187995004236</v>
      </c>
      <c r="CT48" s="2">
        <f t="shared" si="112"/>
        <v>0.40647187995004236</v>
      </c>
      <c r="CU48" s="2">
        <f t="shared" si="112"/>
        <v>0.40647187995004236</v>
      </c>
      <c r="CV48" s="2">
        <f t="shared" si="112"/>
        <v>0.40647187995004236</v>
      </c>
      <c r="CW48" s="2">
        <f t="shared" si="112"/>
        <v>0.40647187995004236</v>
      </c>
      <c r="CX48" s="2">
        <f t="shared" si="112"/>
        <v>0.40647187995004236</v>
      </c>
      <c r="CY48" s="2">
        <f t="shared" si="112"/>
        <v>0.40647187995004236</v>
      </c>
      <c r="CZ48" s="2">
        <f t="shared" si="71"/>
        <v>100</v>
      </c>
      <c r="DB48" s="16"/>
      <c r="DC48" s="37">
        <v>7.0000000000000007E-2</v>
      </c>
      <c r="DD48" s="2">
        <f t="shared" si="72"/>
        <v>300</v>
      </c>
      <c r="DE48" s="2">
        <f t="shared" si="73"/>
        <v>192.12476221558973</v>
      </c>
      <c r="DF48" s="2">
        <f t="shared" si="74"/>
        <v>172.24289966341595</v>
      </c>
      <c r="DG48" s="2">
        <f t="shared" si="75"/>
        <v>163.86648521607768</v>
      </c>
      <c r="DH48" s="2">
        <f t="shared" si="76"/>
        <v>157.31901025501358</v>
      </c>
      <c r="DI48" s="2">
        <f t="shared" si="77"/>
        <v>151.13588755118545</v>
      </c>
      <c r="DJ48" s="2">
        <f t="shared" si="78"/>
        <v>145.10569881589166</v>
      </c>
      <c r="DK48" s="2">
        <f t="shared" si="79"/>
        <v>139.21381896559828</v>
      </c>
      <c r="DL48" s="2">
        <f t="shared" si="80"/>
        <v>133.47556455661055</v>
      </c>
      <c r="DM48" s="2">
        <f t="shared" si="81"/>
        <v>127.90953294118475</v>
      </c>
      <c r="DN48" s="2">
        <f t="shared" si="82"/>
        <v>122.53319503750767</v>
      </c>
      <c r="DO48" s="2">
        <f t="shared" si="83"/>
        <v>117.36203809982017</v>
      </c>
      <c r="DP48" s="2">
        <f t="shared" si="84"/>
        <v>112.40929228542467</v>
      </c>
      <c r="DQ48" s="2">
        <f t="shared" si="85"/>
        <v>107.68577206391276</v>
      </c>
      <c r="DR48" s="2">
        <f t="shared" si="86"/>
        <v>103.19975929375261</v>
      </c>
      <c r="DS48" s="2">
        <f t="shared" si="87"/>
        <v>98.956917219902095</v>
      </c>
      <c r="DT48" s="2">
        <f t="shared" si="88"/>
        <v>94.960234234153091</v>
      </c>
      <c r="DU48" s="2">
        <f t="shared" si="89"/>
        <v>91.209997460546049</v>
      </c>
      <c r="DV48" s="2">
        <f t="shared" si="90"/>
        <v>87.703796131109385</v>
      </c>
      <c r="DW48" s="2">
        <f t="shared" si="91"/>
        <v>84.436554422384503</v>
      </c>
      <c r="DX48" s="2">
        <f t="shared" si="92"/>
        <v>81.400593111215699</v>
      </c>
      <c r="DY48" s="2">
        <f t="shared" si="93"/>
        <v>78.585719110312709</v>
      </c>
      <c r="DZ48" s="2">
        <f t="shared" si="94"/>
        <v>75.979341667075659</v>
      </c>
      <c r="EA48" s="2">
        <f t="shared" si="95"/>
        <v>73.566613755593892</v>
      </c>
      <c r="EB48" s="2">
        <f t="shared" si="96"/>
        <v>71.330596962786771</v>
      </c>
      <c r="EC48" s="2">
        <f t="shared" si="97"/>
        <v>69.252447965809495</v>
      </c>
      <c r="ED48" s="2">
        <f t="shared" si="98"/>
        <v>67.311624519000276</v>
      </c>
      <c r="EE48" s="2">
        <f t="shared" si="99"/>
        <v>65.486108714239847</v>
      </c>
      <c r="EF48" s="2">
        <f t="shared" si="100"/>
        <v>63.752645147744296</v>
      </c>
      <c r="EG48" s="2">
        <f t="shared" si="101"/>
        <v>62.086991517915052</v>
      </c>
      <c r="EH48" s="2">
        <f t="shared" si="102"/>
        <v>60.464179091732944</v>
      </c>
    </row>
    <row r="49" spans="5:138">
      <c r="E49" s="18"/>
      <c r="F49" s="37">
        <v>6.6666666666666666E-2</v>
      </c>
      <c r="G49">
        <f t="shared" si="10"/>
        <v>300</v>
      </c>
      <c r="H49">
        <f t="shared" si="11"/>
        <v>289.38593600154047</v>
      </c>
      <c r="I49">
        <f t="shared" si="12"/>
        <v>278.8153648530589</v>
      </c>
      <c r="J49">
        <f t="shared" si="13"/>
        <v>268.33129219841879</v>
      </c>
      <c r="K49">
        <f t="shared" si="14"/>
        <v>257.97575507539801</v>
      </c>
      <c r="L49">
        <f t="shared" si="15"/>
        <v>247.78935204382515</v>
      </c>
      <c r="M49">
        <f t="shared" si="16"/>
        <v>237.81079039726478</v>
      </c>
      <c r="N49">
        <f t="shared" si="17"/>
        <v>228.07645576842268</v>
      </c>
      <c r="O49">
        <f t="shared" si="18"/>
        <v>218.62000911967743</v>
      </c>
      <c r="P49">
        <f t="shared" si="19"/>
        <v>209.47201572462302</v>
      </c>
      <c r="Q49">
        <f t="shared" si="20"/>
        <v>200.65961030220834</v>
      </c>
      <c r="R49">
        <f t="shared" si="21"/>
        <v>192.20620197099808</v>
      </c>
      <c r="S49">
        <f t="shared" si="22"/>
        <v>184.13122215695711</v>
      </c>
      <c r="T49">
        <f t="shared" si="23"/>
        <v>176.4499180241429</v>
      </c>
      <c r="U49">
        <f t="shared" si="24"/>
        <v>169.17319341403316</v>
      </c>
      <c r="V49">
        <f t="shared" si="25"/>
        <v>162.30749868603726</v>
      </c>
      <c r="W49">
        <f t="shared" si="26"/>
        <v>155.85477025869537</v>
      </c>
      <c r="X49">
        <f t="shared" si="27"/>
        <v>149.81242006714518</v>
      </c>
      <c r="Y49">
        <f t="shared" si="28"/>
        <v>144.17337458572581</v>
      </c>
      <c r="Z49">
        <f t="shared" si="29"/>
        <v>138.92616252213369</v>
      </c>
      <c r="AA49">
        <f t="shared" si="30"/>
        <v>134.0550497772351</v>
      </c>
      <c r="AB49">
        <f t="shared" si="31"/>
        <v>129.5402197871374</v>
      </c>
      <c r="AC49">
        <f t="shared" si="32"/>
        <v>125.35799692487289</v>
      </c>
      <c r="AD49">
        <f t="shared" si="33"/>
        <v>121.48111024031029</v>
      </c>
      <c r="AE49">
        <f t="shared" si="34"/>
        <v>117.87899445985136</v>
      </c>
      <c r="AF49">
        <f t="shared" si="35"/>
        <v>114.51812485229154</v>
      </c>
      <c r="AG49">
        <f t="shared" si="36"/>
        <v>111.36238229332241</v>
      </c>
      <c r="AH49">
        <f t="shared" si="37"/>
        <v>108.37344462730422</v>
      </c>
      <c r="AI49">
        <f t="shared" si="38"/>
        <v>105.51120022948571</v>
      </c>
      <c r="AJ49">
        <f t="shared" si="103"/>
        <v>102.73417951291928</v>
      </c>
      <c r="AK49">
        <f t="shared" si="39"/>
        <v>100</v>
      </c>
      <c r="AL49" s="16"/>
      <c r="AM49" s="37">
        <v>6.6666666666666666E-2</v>
      </c>
      <c r="AN49" s="6">
        <f t="shared" si="40"/>
        <v>-1076400000</v>
      </c>
      <c r="AO49" s="6">
        <f t="shared" si="104"/>
        <v>-1038136677.9746188</v>
      </c>
      <c r="AP49" s="6">
        <f t="shared" si="41"/>
        <v>-1000031425.3282715</v>
      </c>
      <c r="AQ49" s="6">
        <f t="shared" si="42"/>
        <v>-962240539.30702293</v>
      </c>
      <c r="AR49" s="6">
        <f t="shared" si="43"/>
        <v>-924916794.07193398</v>
      </c>
      <c r="AS49" s="6">
        <f t="shared" si="44"/>
        <v>-888207731.79929268</v>
      </c>
      <c r="AT49" s="6">
        <f t="shared" si="45"/>
        <v>-852254016.09203267</v>
      </c>
      <c r="AU49" s="6">
        <f t="shared" si="46"/>
        <v>-817187867.05949914</v>
      </c>
      <c r="AV49" s="6">
        <f t="shared" si="47"/>
        <v>-783131596.25112283</v>
      </c>
      <c r="AW49" s="6">
        <f t="shared" si="48"/>
        <v>-750196258.21321857</v>
      </c>
      <c r="AX49" s="6">
        <f t="shared" si="49"/>
        <v>-718480433.80673742</v>
      </c>
      <c r="AY49" s="6">
        <f t="shared" si="50"/>
        <v>-688069158.61086011</v>
      </c>
      <c r="AZ49" s="6">
        <f t="shared" si="51"/>
        <v>-659033007.77888358</v>
      </c>
      <c r="BA49" s="6">
        <f t="shared" si="52"/>
        <v>-631427346.6466285</v>
      </c>
      <c r="BB49" s="6">
        <f t="shared" si="53"/>
        <v>-605291754.25759983</v>
      </c>
      <c r="BC49" s="6">
        <f t="shared" si="54"/>
        <v>-580649624.80079412</v>
      </c>
      <c r="BD49" s="6">
        <f t="shared" si="55"/>
        <v>-557507949.79202139</v>
      </c>
      <c r="BE49" s="6">
        <f t="shared" si="56"/>
        <v>-535857281.70097542</v>
      </c>
      <c r="BF49" s="6">
        <f t="shared" si="57"/>
        <v>-515671877.66377914</v>
      </c>
      <c r="BG49" s="6">
        <f t="shared" si="58"/>
        <v>-496910019.95002455</v>
      </c>
      <c r="BH49" s="6">
        <f t="shared" si="59"/>
        <v>-479514507.99584377</v>
      </c>
      <c r="BI49" s="6">
        <f t="shared" si="60"/>
        <v>-463413315.08701974</v>
      </c>
      <c r="BJ49" s="6">
        <f t="shared" si="61"/>
        <v>-448520401.19075817</v>
      </c>
      <c r="BK49" s="6">
        <f t="shared" si="62"/>
        <v>-434736671.99924421</v>
      </c>
      <c r="BL49" s="6">
        <f t="shared" si="63"/>
        <v>-421951072.9661445</v>
      </c>
      <c r="BM49" s="6">
        <f t="shared" si="64"/>
        <v>-410041805.98885667</v>
      </c>
      <c r="BN49" s="6">
        <f t="shared" si="65"/>
        <v>-398877655.41162413</v>
      </c>
      <c r="BO49" s="6">
        <f t="shared" si="66"/>
        <v>-388319409.19242102</v>
      </c>
      <c r="BP49" s="6">
        <f t="shared" si="67"/>
        <v>-378221360.3830111</v>
      </c>
      <c r="BQ49" s="6">
        <f t="shared" si="68"/>
        <v>-368432873.50925529</v>
      </c>
      <c r="BR49" s="6">
        <f t="shared" si="69"/>
        <v>-358800000</v>
      </c>
      <c r="BT49" s="16"/>
      <c r="BU49" s="37">
        <v>6.6666666666666666E-2</v>
      </c>
      <c r="BV49" s="2">
        <v>0</v>
      </c>
      <c r="BW49" s="2">
        <f t="shared" ref="BW49:CY49" si="113">$B$20/($B$21-$B$22*BV49)</f>
        <v>0.34883720930232553</v>
      </c>
      <c r="BX49" s="2">
        <f t="shared" si="113"/>
        <v>0.39716748768472904</v>
      </c>
      <c r="BY49" s="2">
        <f t="shared" si="113"/>
        <v>0.40494040593779607</v>
      </c>
      <c r="BZ49" s="2">
        <f t="shared" si="113"/>
        <v>0.4062190081621499</v>
      </c>
      <c r="CA49" s="2">
        <f t="shared" si="113"/>
        <v>0.40643010492156101</v>
      </c>
      <c r="CB49" s="2">
        <f t="shared" si="113"/>
        <v>0.40646497802255066</v>
      </c>
      <c r="CC49" s="2">
        <f t="shared" si="113"/>
        <v>0.40647073962099717</v>
      </c>
      <c r="CD49" s="2">
        <f t="shared" si="113"/>
        <v>0.40647169154566137</v>
      </c>
      <c r="CE49" s="2">
        <f t="shared" si="113"/>
        <v>0.40647184882198806</v>
      </c>
      <c r="CF49" s="2">
        <f t="shared" si="113"/>
        <v>0.40647187480708435</v>
      </c>
      <c r="CG49" s="2">
        <f t="shared" si="113"/>
        <v>0.40647187910032606</v>
      </c>
      <c r="CH49" s="2">
        <f t="shared" si="113"/>
        <v>0.40647187980965277</v>
      </c>
      <c r="CI49" s="2">
        <f t="shared" si="113"/>
        <v>0.4064718799268473</v>
      </c>
      <c r="CJ49" s="2">
        <f t="shared" si="113"/>
        <v>0.40647187994621015</v>
      </c>
      <c r="CK49" s="2">
        <f t="shared" si="113"/>
        <v>0.40647187994940925</v>
      </c>
      <c r="CL49" s="2">
        <f t="shared" si="113"/>
        <v>0.40647187994993778</v>
      </c>
      <c r="CM49" s="2">
        <f t="shared" si="113"/>
        <v>0.40647187995002515</v>
      </c>
      <c r="CN49" s="2">
        <f t="shared" si="113"/>
        <v>0.40647187995003953</v>
      </c>
      <c r="CO49" s="2">
        <f t="shared" si="113"/>
        <v>0.40647187995004191</v>
      </c>
      <c r="CP49" s="2">
        <f t="shared" si="113"/>
        <v>0.40647187995004236</v>
      </c>
      <c r="CQ49" s="2">
        <f t="shared" si="113"/>
        <v>0.40647187995004236</v>
      </c>
      <c r="CR49" s="2">
        <f t="shared" si="113"/>
        <v>0.40647187995004236</v>
      </c>
      <c r="CS49" s="2">
        <f t="shared" si="113"/>
        <v>0.40647187995004236</v>
      </c>
      <c r="CT49" s="2">
        <f t="shared" si="113"/>
        <v>0.40647187995004236</v>
      </c>
      <c r="CU49" s="2">
        <f t="shared" si="113"/>
        <v>0.40647187995004236</v>
      </c>
      <c r="CV49" s="2">
        <f t="shared" si="113"/>
        <v>0.40647187995004236</v>
      </c>
      <c r="CW49" s="2">
        <f t="shared" si="113"/>
        <v>0.40647187995004236</v>
      </c>
      <c r="CX49" s="2">
        <f t="shared" si="113"/>
        <v>0.40647187995004236</v>
      </c>
      <c r="CY49" s="2">
        <f t="shared" si="113"/>
        <v>0.40647187995004236</v>
      </c>
      <c r="CZ49" s="2">
        <f t="shared" si="71"/>
        <v>100</v>
      </c>
      <c r="DB49" s="16"/>
      <c r="DC49" s="37">
        <v>6.6666666666666666E-2</v>
      </c>
      <c r="DD49" s="2">
        <f t="shared" si="72"/>
        <v>300</v>
      </c>
      <c r="DE49" s="2">
        <f t="shared" si="73"/>
        <v>192.12476221558973</v>
      </c>
      <c r="DF49" s="2">
        <f t="shared" si="74"/>
        <v>172.24289966341595</v>
      </c>
      <c r="DG49" s="2">
        <f t="shared" si="75"/>
        <v>163.86648521607768</v>
      </c>
      <c r="DH49" s="2">
        <f t="shared" si="76"/>
        <v>157.31901025501358</v>
      </c>
      <c r="DI49" s="2">
        <f t="shared" si="77"/>
        <v>151.13588755118545</v>
      </c>
      <c r="DJ49" s="2">
        <f t="shared" si="78"/>
        <v>145.10569881589163</v>
      </c>
      <c r="DK49" s="2">
        <f t="shared" si="79"/>
        <v>139.21381896559825</v>
      </c>
      <c r="DL49" s="2">
        <f t="shared" si="80"/>
        <v>133.47556455661055</v>
      </c>
      <c r="DM49" s="2">
        <f t="shared" si="81"/>
        <v>127.90953294118475</v>
      </c>
      <c r="DN49" s="2">
        <f t="shared" si="82"/>
        <v>122.53319503750764</v>
      </c>
      <c r="DO49" s="2">
        <f t="shared" si="83"/>
        <v>117.36203809982013</v>
      </c>
      <c r="DP49" s="2">
        <f t="shared" si="84"/>
        <v>112.40929228542463</v>
      </c>
      <c r="DQ49" s="2">
        <f t="shared" si="85"/>
        <v>107.68577206391271</v>
      </c>
      <c r="DR49" s="2">
        <f t="shared" si="86"/>
        <v>103.19975929375258</v>
      </c>
      <c r="DS49" s="2">
        <f t="shared" si="87"/>
        <v>98.956917219902081</v>
      </c>
      <c r="DT49" s="2">
        <f t="shared" si="88"/>
        <v>94.960234234153077</v>
      </c>
      <c r="DU49" s="2">
        <f t="shared" si="89"/>
        <v>91.209997460546049</v>
      </c>
      <c r="DV49" s="2">
        <f t="shared" si="90"/>
        <v>87.703796131109385</v>
      </c>
      <c r="DW49" s="2">
        <f t="shared" si="91"/>
        <v>84.436554422384489</v>
      </c>
      <c r="DX49" s="2">
        <f t="shared" si="92"/>
        <v>81.400593111215684</v>
      </c>
      <c r="DY49" s="2">
        <f t="shared" si="93"/>
        <v>78.585719110312695</v>
      </c>
      <c r="DZ49" s="2">
        <f t="shared" si="94"/>
        <v>75.97934166707563</v>
      </c>
      <c r="EA49" s="2">
        <f t="shared" si="95"/>
        <v>73.566613755593877</v>
      </c>
      <c r="EB49" s="2">
        <f t="shared" si="96"/>
        <v>71.330596962786743</v>
      </c>
      <c r="EC49" s="2">
        <f t="shared" si="97"/>
        <v>69.252447965809466</v>
      </c>
      <c r="ED49" s="2">
        <f t="shared" si="98"/>
        <v>67.311624519000247</v>
      </c>
      <c r="EE49" s="2">
        <f t="shared" si="99"/>
        <v>65.486108714239833</v>
      </c>
      <c r="EF49" s="2">
        <f t="shared" si="100"/>
        <v>63.752645147744282</v>
      </c>
      <c r="EG49" s="2">
        <f t="shared" si="101"/>
        <v>62.086991517915045</v>
      </c>
      <c r="EH49" s="2">
        <f t="shared" si="102"/>
        <v>60.464179091732944</v>
      </c>
    </row>
    <row r="50" spans="5:138">
      <c r="E50" s="18"/>
      <c r="F50" s="37">
        <v>6.3333333333333339E-2</v>
      </c>
      <c r="G50">
        <f t="shared" si="10"/>
        <v>300</v>
      </c>
      <c r="H50">
        <f t="shared" si="11"/>
        <v>289.38593600154053</v>
      </c>
      <c r="I50">
        <f t="shared" si="12"/>
        <v>278.81536485305895</v>
      </c>
      <c r="J50">
        <f t="shared" si="13"/>
        <v>268.33129219841885</v>
      </c>
      <c r="K50">
        <f t="shared" si="14"/>
        <v>257.97575507539807</v>
      </c>
      <c r="L50">
        <f t="shared" si="15"/>
        <v>247.78935204382515</v>
      </c>
      <c r="M50">
        <f t="shared" si="16"/>
        <v>237.81079039726484</v>
      </c>
      <c r="N50">
        <f t="shared" si="17"/>
        <v>228.07645576842268</v>
      </c>
      <c r="O50">
        <f t="shared" si="18"/>
        <v>218.62000911967743</v>
      </c>
      <c r="P50">
        <f t="shared" si="19"/>
        <v>209.47201572462302</v>
      </c>
      <c r="Q50">
        <f t="shared" si="20"/>
        <v>200.65961030220834</v>
      </c>
      <c r="R50">
        <f t="shared" si="21"/>
        <v>192.20620197099808</v>
      </c>
      <c r="S50">
        <f t="shared" si="22"/>
        <v>184.13122215695711</v>
      </c>
      <c r="T50">
        <f t="shared" si="23"/>
        <v>176.4499180241429</v>
      </c>
      <c r="U50">
        <f t="shared" si="24"/>
        <v>169.17319341403316</v>
      </c>
      <c r="V50">
        <f t="shared" si="25"/>
        <v>162.30749868603726</v>
      </c>
      <c r="W50">
        <f t="shared" si="26"/>
        <v>155.85477025869534</v>
      </c>
      <c r="X50">
        <f t="shared" si="27"/>
        <v>149.81242006714515</v>
      </c>
      <c r="Y50">
        <f t="shared" si="28"/>
        <v>144.17337458572572</v>
      </c>
      <c r="Z50">
        <f t="shared" si="29"/>
        <v>138.92616252213361</v>
      </c>
      <c r="AA50">
        <f t="shared" si="30"/>
        <v>134.05504977723504</v>
      </c>
      <c r="AB50">
        <f t="shared" si="31"/>
        <v>129.54021978713735</v>
      </c>
      <c r="AC50">
        <f t="shared" si="32"/>
        <v>125.35799692487285</v>
      </c>
      <c r="AD50">
        <f t="shared" si="33"/>
        <v>121.48111024031027</v>
      </c>
      <c r="AE50">
        <f t="shared" si="34"/>
        <v>117.87899445985136</v>
      </c>
      <c r="AF50">
        <f t="shared" si="35"/>
        <v>114.51812485229154</v>
      </c>
      <c r="AG50">
        <f t="shared" si="36"/>
        <v>111.36238229332241</v>
      </c>
      <c r="AH50">
        <f t="shared" si="37"/>
        <v>108.37344462730422</v>
      </c>
      <c r="AI50">
        <f t="shared" si="38"/>
        <v>105.51120022948571</v>
      </c>
      <c r="AJ50">
        <f t="shared" si="103"/>
        <v>102.73417951291928</v>
      </c>
      <c r="AK50">
        <f t="shared" si="39"/>
        <v>100</v>
      </c>
      <c r="AL50" s="16"/>
      <c r="AM50" s="37">
        <v>6.3333333333333339E-2</v>
      </c>
      <c r="AN50" s="6">
        <f t="shared" si="40"/>
        <v>-1076400000</v>
      </c>
      <c r="AO50" s="6">
        <f t="shared" si="104"/>
        <v>-1038136677.9746188</v>
      </c>
      <c r="AP50" s="6">
        <f t="shared" si="41"/>
        <v>-1000031425.3282717</v>
      </c>
      <c r="AQ50" s="6">
        <f t="shared" si="42"/>
        <v>-962240539.30702293</v>
      </c>
      <c r="AR50" s="6">
        <f t="shared" si="43"/>
        <v>-924916794.07193398</v>
      </c>
      <c r="AS50" s="6">
        <f t="shared" si="44"/>
        <v>-888207731.79929268</v>
      </c>
      <c r="AT50" s="6">
        <f t="shared" si="45"/>
        <v>-852254016.09203291</v>
      </c>
      <c r="AU50" s="6">
        <f t="shared" si="46"/>
        <v>-817187867.05949903</v>
      </c>
      <c r="AV50" s="6">
        <f t="shared" si="47"/>
        <v>-783131596.25112283</v>
      </c>
      <c r="AW50" s="6">
        <f t="shared" si="48"/>
        <v>-750196258.21321857</v>
      </c>
      <c r="AX50" s="6">
        <f t="shared" si="49"/>
        <v>-718480433.80673742</v>
      </c>
      <c r="AY50" s="6">
        <f t="shared" si="50"/>
        <v>-688069158.61086011</v>
      </c>
      <c r="AZ50" s="6">
        <f t="shared" si="51"/>
        <v>-659033007.77888358</v>
      </c>
      <c r="BA50" s="6">
        <f t="shared" si="52"/>
        <v>-631427346.6466285</v>
      </c>
      <c r="BB50" s="6">
        <f t="shared" si="53"/>
        <v>-605291754.25759983</v>
      </c>
      <c r="BC50" s="6">
        <f t="shared" si="54"/>
        <v>-580649624.80079401</v>
      </c>
      <c r="BD50" s="6">
        <f t="shared" si="55"/>
        <v>-557507949.79202127</v>
      </c>
      <c r="BE50" s="6">
        <f t="shared" si="56"/>
        <v>-535857281.70097542</v>
      </c>
      <c r="BF50" s="6">
        <f t="shared" si="57"/>
        <v>-515671877.66377902</v>
      </c>
      <c r="BG50" s="6">
        <f t="shared" si="58"/>
        <v>-496910019.95002437</v>
      </c>
      <c r="BH50" s="6">
        <f t="shared" si="59"/>
        <v>-479514507.99584365</v>
      </c>
      <c r="BI50" s="6">
        <f t="shared" si="60"/>
        <v>-463413315.08701962</v>
      </c>
      <c r="BJ50" s="6">
        <f t="shared" si="61"/>
        <v>-448520401.19075811</v>
      </c>
      <c r="BK50" s="6">
        <f t="shared" si="62"/>
        <v>-434736671.99924421</v>
      </c>
      <c r="BL50" s="6">
        <f t="shared" si="63"/>
        <v>-421951072.96614444</v>
      </c>
      <c r="BM50" s="6">
        <f t="shared" si="64"/>
        <v>-410041805.98885667</v>
      </c>
      <c r="BN50" s="6">
        <f t="shared" si="65"/>
        <v>-398877655.41162413</v>
      </c>
      <c r="BO50" s="6">
        <f t="shared" si="66"/>
        <v>-388319409.19242102</v>
      </c>
      <c r="BP50" s="6">
        <f t="shared" si="67"/>
        <v>-378221360.3830111</v>
      </c>
      <c r="BQ50" s="6">
        <f t="shared" si="68"/>
        <v>-368432873.50925535</v>
      </c>
      <c r="BR50" s="6">
        <f t="shared" si="69"/>
        <v>-358800000</v>
      </c>
      <c r="BT50" s="16"/>
      <c r="BU50" s="37">
        <v>6.3333333333333339E-2</v>
      </c>
      <c r="BV50" s="2">
        <v>0</v>
      </c>
      <c r="BW50" s="2">
        <f t="shared" ref="BW50:CY50" si="114">$B$20/($B$21-$B$22*BV50)</f>
        <v>0.34883720930232553</v>
      </c>
      <c r="BX50" s="2">
        <f t="shared" si="114"/>
        <v>0.39716748768472904</v>
      </c>
      <c r="BY50" s="2">
        <f t="shared" si="114"/>
        <v>0.40494040593779607</v>
      </c>
      <c r="BZ50" s="2">
        <f t="shared" si="114"/>
        <v>0.4062190081621499</v>
      </c>
      <c r="CA50" s="2">
        <f t="shared" si="114"/>
        <v>0.40643010492156101</v>
      </c>
      <c r="CB50" s="2">
        <f t="shared" si="114"/>
        <v>0.40646497802255066</v>
      </c>
      <c r="CC50" s="2">
        <f t="shared" si="114"/>
        <v>0.40647073962099717</v>
      </c>
      <c r="CD50" s="2">
        <f t="shared" si="114"/>
        <v>0.40647169154566137</v>
      </c>
      <c r="CE50" s="2">
        <f t="shared" si="114"/>
        <v>0.40647184882198806</v>
      </c>
      <c r="CF50" s="2">
        <f t="shared" si="114"/>
        <v>0.40647187480708435</v>
      </c>
      <c r="CG50" s="2">
        <f t="shared" si="114"/>
        <v>0.40647187910032606</v>
      </c>
      <c r="CH50" s="2">
        <f t="shared" si="114"/>
        <v>0.40647187980965277</v>
      </c>
      <c r="CI50" s="2">
        <f t="shared" si="114"/>
        <v>0.4064718799268473</v>
      </c>
      <c r="CJ50" s="2">
        <f t="shared" si="114"/>
        <v>0.40647187994621015</v>
      </c>
      <c r="CK50" s="2">
        <f t="shared" si="114"/>
        <v>0.40647187994940925</v>
      </c>
      <c r="CL50" s="2">
        <f t="shared" si="114"/>
        <v>0.40647187994993778</v>
      </c>
      <c r="CM50" s="2">
        <f t="shared" si="114"/>
        <v>0.40647187995002515</v>
      </c>
      <c r="CN50" s="2">
        <f t="shared" si="114"/>
        <v>0.40647187995003953</v>
      </c>
      <c r="CO50" s="2">
        <f t="shared" si="114"/>
        <v>0.40647187995004191</v>
      </c>
      <c r="CP50" s="2">
        <f t="shared" si="114"/>
        <v>0.40647187995004236</v>
      </c>
      <c r="CQ50" s="2">
        <f t="shared" si="114"/>
        <v>0.40647187995004236</v>
      </c>
      <c r="CR50" s="2">
        <f t="shared" si="114"/>
        <v>0.40647187995004236</v>
      </c>
      <c r="CS50" s="2">
        <f t="shared" si="114"/>
        <v>0.40647187995004236</v>
      </c>
      <c r="CT50" s="2">
        <f t="shared" si="114"/>
        <v>0.40647187995004236</v>
      </c>
      <c r="CU50" s="2">
        <f t="shared" si="114"/>
        <v>0.40647187995004236</v>
      </c>
      <c r="CV50" s="2">
        <f t="shared" si="114"/>
        <v>0.40647187995004236</v>
      </c>
      <c r="CW50" s="2">
        <f t="shared" si="114"/>
        <v>0.40647187995004236</v>
      </c>
      <c r="CX50" s="2">
        <f t="shared" si="114"/>
        <v>0.40647187995004236</v>
      </c>
      <c r="CY50" s="2">
        <f t="shared" si="114"/>
        <v>0.40647187995004236</v>
      </c>
      <c r="CZ50" s="2">
        <f t="shared" si="71"/>
        <v>100</v>
      </c>
      <c r="DB50" s="16"/>
      <c r="DC50" s="37">
        <v>6.3333333333333339E-2</v>
      </c>
      <c r="DD50" s="2">
        <f t="shared" si="72"/>
        <v>300</v>
      </c>
      <c r="DE50" s="2">
        <f t="shared" si="73"/>
        <v>192.12476221558973</v>
      </c>
      <c r="DF50" s="2">
        <f t="shared" si="74"/>
        <v>172.24289966341601</v>
      </c>
      <c r="DG50" s="2">
        <f t="shared" si="75"/>
        <v>163.86648521607773</v>
      </c>
      <c r="DH50" s="2">
        <f t="shared" si="76"/>
        <v>157.31901025501361</v>
      </c>
      <c r="DI50" s="2">
        <f t="shared" si="77"/>
        <v>151.13588755118545</v>
      </c>
      <c r="DJ50" s="2">
        <f t="shared" si="78"/>
        <v>145.10569881589166</v>
      </c>
      <c r="DK50" s="2">
        <f t="shared" si="79"/>
        <v>139.21381896559825</v>
      </c>
      <c r="DL50" s="2">
        <f t="shared" si="80"/>
        <v>133.47556455661055</v>
      </c>
      <c r="DM50" s="2">
        <f t="shared" si="81"/>
        <v>127.90953294118475</v>
      </c>
      <c r="DN50" s="2">
        <f t="shared" si="82"/>
        <v>122.53319503750764</v>
      </c>
      <c r="DO50" s="2">
        <f t="shared" si="83"/>
        <v>117.36203809982013</v>
      </c>
      <c r="DP50" s="2">
        <f t="shared" si="84"/>
        <v>112.40929228542463</v>
      </c>
      <c r="DQ50" s="2">
        <f t="shared" si="85"/>
        <v>107.68577206391271</v>
      </c>
      <c r="DR50" s="2">
        <f t="shared" si="86"/>
        <v>103.19975929375258</v>
      </c>
      <c r="DS50" s="2">
        <f t="shared" si="87"/>
        <v>98.956917219902081</v>
      </c>
      <c r="DT50" s="2">
        <f t="shared" si="88"/>
        <v>94.960234234153063</v>
      </c>
      <c r="DU50" s="2">
        <f t="shared" si="89"/>
        <v>91.209997460546035</v>
      </c>
      <c r="DV50" s="2">
        <f t="shared" si="90"/>
        <v>87.703796131109357</v>
      </c>
      <c r="DW50" s="2">
        <f t="shared" si="91"/>
        <v>84.436554422384447</v>
      </c>
      <c r="DX50" s="2">
        <f t="shared" si="92"/>
        <v>81.400593111215656</v>
      </c>
      <c r="DY50" s="2">
        <f t="shared" si="93"/>
        <v>78.585719110312667</v>
      </c>
      <c r="DZ50" s="2">
        <f t="shared" si="94"/>
        <v>75.979341667075602</v>
      </c>
      <c r="EA50" s="2">
        <f t="shared" si="95"/>
        <v>73.566613755593863</v>
      </c>
      <c r="EB50" s="2">
        <f t="shared" si="96"/>
        <v>71.330596962786743</v>
      </c>
      <c r="EC50" s="2">
        <f t="shared" si="97"/>
        <v>69.252447965809466</v>
      </c>
      <c r="ED50" s="2">
        <f t="shared" si="98"/>
        <v>67.311624519000247</v>
      </c>
      <c r="EE50" s="2">
        <f t="shared" si="99"/>
        <v>65.486108714239833</v>
      </c>
      <c r="EF50" s="2">
        <f t="shared" si="100"/>
        <v>63.752645147744282</v>
      </c>
      <c r="EG50" s="2">
        <f t="shared" si="101"/>
        <v>62.086991517915045</v>
      </c>
      <c r="EH50" s="2">
        <f t="shared" si="102"/>
        <v>60.464179091732944</v>
      </c>
    </row>
    <row r="51" spans="5:138">
      <c r="E51" s="18"/>
      <c r="F51" s="37">
        <v>6.0000000000000005E-2</v>
      </c>
      <c r="G51">
        <f t="shared" si="10"/>
        <v>300</v>
      </c>
      <c r="H51">
        <f t="shared" si="11"/>
        <v>289.38593600154053</v>
      </c>
      <c r="I51">
        <f t="shared" si="12"/>
        <v>278.81536485305895</v>
      </c>
      <c r="J51">
        <f t="shared" si="13"/>
        <v>268.33129219841885</v>
      </c>
      <c r="K51">
        <f t="shared" si="14"/>
        <v>257.97575507539807</v>
      </c>
      <c r="L51">
        <f t="shared" si="15"/>
        <v>247.78935204382515</v>
      </c>
      <c r="M51">
        <f t="shared" si="16"/>
        <v>237.81079039726484</v>
      </c>
      <c r="N51">
        <f t="shared" si="17"/>
        <v>228.07645576842268</v>
      </c>
      <c r="O51">
        <f t="shared" si="18"/>
        <v>218.62000911967743</v>
      </c>
      <c r="P51">
        <f t="shared" si="19"/>
        <v>209.47201572462302</v>
      </c>
      <c r="Q51">
        <f t="shared" si="20"/>
        <v>200.65961030220834</v>
      </c>
      <c r="R51">
        <f t="shared" si="21"/>
        <v>192.20620197099808</v>
      </c>
      <c r="S51">
        <f t="shared" si="22"/>
        <v>184.13122215695711</v>
      </c>
      <c r="T51">
        <f t="shared" si="23"/>
        <v>176.4499180241429</v>
      </c>
      <c r="U51">
        <f t="shared" si="24"/>
        <v>169.17319341403316</v>
      </c>
      <c r="V51">
        <f t="shared" si="25"/>
        <v>162.30749868603723</v>
      </c>
      <c r="W51">
        <f t="shared" si="26"/>
        <v>155.85477025869534</v>
      </c>
      <c r="X51">
        <f t="shared" si="27"/>
        <v>149.81242006714515</v>
      </c>
      <c r="Y51">
        <f t="shared" si="28"/>
        <v>144.17337458572575</v>
      </c>
      <c r="Z51">
        <f t="shared" si="29"/>
        <v>138.92616252213367</v>
      </c>
      <c r="AA51">
        <f t="shared" si="30"/>
        <v>134.05504977723507</v>
      </c>
      <c r="AB51">
        <f t="shared" si="31"/>
        <v>129.5402197871374</v>
      </c>
      <c r="AC51">
        <f t="shared" si="32"/>
        <v>125.35799692487289</v>
      </c>
      <c r="AD51">
        <f t="shared" si="33"/>
        <v>121.48111024031029</v>
      </c>
      <c r="AE51">
        <f t="shared" si="34"/>
        <v>117.87899445985136</v>
      </c>
      <c r="AF51">
        <f t="shared" si="35"/>
        <v>114.51812485229155</v>
      </c>
      <c r="AG51">
        <f t="shared" si="36"/>
        <v>111.36238229332243</v>
      </c>
      <c r="AH51">
        <f t="shared" si="37"/>
        <v>108.37344462730422</v>
      </c>
      <c r="AI51">
        <f t="shared" si="38"/>
        <v>105.51120022948571</v>
      </c>
      <c r="AJ51">
        <f t="shared" si="103"/>
        <v>102.73417951291928</v>
      </c>
      <c r="AK51">
        <f t="shared" si="39"/>
        <v>100</v>
      </c>
      <c r="AL51" s="16"/>
      <c r="AM51" s="37">
        <v>6.0000000000000005E-2</v>
      </c>
      <c r="AN51" s="6">
        <f t="shared" si="40"/>
        <v>-1076400000</v>
      </c>
      <c r="AO51" s="6">
        <f t="shared" si="104"/>
        <v>-1038136677.9746188</v>
      </c>
      <c r="AP51" s="6">
        <f t="shared" si="41"/>
        <v>-1000031425.3282717</v>
      </c>
      <c r="AQ51" s="6">
        <f t="shared" si="42"/>
        <v>-962240539.30702293</v>
      </c>
      <c r="AR51" s="6">
        <f t="shared" si="43"/>
        <v>-924916794.07193398</v>
      </c>
      <c r="AS51" s="6">
        <f t="shared" si="44"/>
        <v>-888207731.79929268</v>
      </c>
      <c r="AT51" s="6">
        <f t="shared" si="45"/>
        <v>-852254016.09203291</v>
      </c>
      <c r="AU51" s="6">
        <f t="shared" si="46"/>
        <v>-817187867.05949926</v>
      </c>
      <c r="AV51" s="6">
        <f t="shared" si="47"/>
        <v>-783131596.25112307</v>
      </c>
      <c r="AW51" s="6">
        <f t="shared" si="48"/>
        <v>-750196258.21321881</v>
      </c>
      <c r="AX51" s="6">
        <f t="shared" si="49"/>
        <v>-718480433.80673742</v>
      </c>
      <c r="AY51" s="6">
        <f t="shared" si="50"/>
        <v>-688069158.61086011</v>
      </c>
      <c r="AZ51" s="6">
        <f t="shared" si="51"/>
        <v>-659033007.77888358</v>
      </c>
      <c r="BA51" s="6">
        <f t="shared" si="52"/>
        <v>-631427346.6466285</v>
      </c>
      <c r="BB51" s="6">
        <f t="shared" si="53"/>
        <v>-605291754.25759971</v>
      </c>
      <c r="BC51" s="6">
        <f t="shared" si="54"/>
        <v>-580649624.80079401</v>
      </c>
      <c r="BD51" s="6">
        <f t="shared" si="55"/>
        <v>-557507949.79202127</v>
      </c>
      <c r="BE51" s="6">
        <f t="shared" si="56"/>
        <v>-535857281.70097542</v>
      </c>
      <c r="BF51" s="6">
        <f t="shared" si="57"/>
        <v>-515671877.66377902</v>
      </c>
      <c r="BG51" s="6">
        <f t="shared" si="58"/>
        <v>-496910019.95002449</v>
      </c>
      <c r="BH51" s="6">
        <f t="shared" si="59"/>
        <v>-479514507.99584365</v>
      </c>
      <c r="BI51" s="6">
        <f t="shared" si="60"/>
        <v>-463413315.08701974</v>
      </c>
      <c r="BJ51" s="6">
        <f t="shared" si="61"/>
        <v>-448520401.19075817</v>
      </c>
      <c r="BK51" s="6">
        <f t="shared" si="62"/>
        <v>-434736671.99924421</v>
      </c>
      <c r="BL51" s="6">
        <f t="shared" si="63"/>
        <v>-421951072.96614444</v>
      </c>
      <c r="BM51" s="6">
        <f t="shared" si="64"/>
        <v>-410041805.98885679</v>
      </c>
      <c r="BN51" s="6">
        <f t="shared" si="65"/>
        <v>-398877655.41162419</v>
      </c>
      <c r="BO51" s="6">
        <f t="shared" si="66"/>
        <v>-388319409.19242102</v>
      </c>
      <c r="BP51" s="6">
        <f t="shared" si="67"/>
        <v>-378221360.38301116</v>
      </c>
      <c r="BQ51" s="6">
        <f t="shared" si="68"/>
        <v>-368432873.50925535</v>
      </c>
      <c r="BR51" s="6">
        <f t="shared" si="69"/>
        <v>-358800000</v>
      </c>
      <c r="BT51" s="16"/>
      <c r="BU51" s="37">
        <v>6.0000000000000005E-2</v>
      </c>
      <c r="BV51" s="2">
        <v>0</v>
      </c>
      <c r="BW51" s="2">
        <f t="shared" ref="BW51:CY51" si="115">$B$20/($B$21-$B$22*BV51)</f>
        <v>0.34883720930232553</v>
      </c>
      <c r="BX51" s="2">
        <f t="shared" si="115"/>
        <v>0.39716748768472904</v>
      </c>
      <c r="BY51" s="2">
        <f t="shared" si="115"/>
        <v>0.40494040593779607</v>
      </c>
      <c r="BZ51" s="2">
        <f t="shared" si="115"/>
        <v>0.4062190081621499</v>
      </c>
      <c r="CA51" s="2">
        <f t="shared" si="115"/>
        <v>0.40643010492156101</v>
      </c>
      <c r="CB51" s="2">
        <f t="shared" si="115"/>
        <v>0.40646497802255066</v>
      </c>
      <c r="CC51" s="2">
        <f t="shared" si="115"/>
        <v>0.40647073962099717</v>
      </c>
      <c r="CD51" s="2">
        <f t="shared" si="115"/>
        <v>0.40647169154566137</v>
      </c>
      <c r="CE51" s="2">
        <f t="shared" si="115"/>
        <v>0.40647184882198806</v>
      </c>
      <c r="CF51" s="2">
        <f t="shared" si="115"/>
        <v>0.40647187480708435</v>
      </c>
      <c r="CG51" s="2">
        <f t="shared" si="115"/>
        <v>0.40647187910032606</v>
      </c>
      <c r="CH51" s="2">
        <f t="shared" si="115"/>
        <v>0.40647187980965277</v>
      </c>
      <c r="CI51" s="2">
        <f t="shared" si="115"/>
        <v>0.4064718799268473</v>
      </c>
      <c r="CJ51" s="2">
        <f t="shared" si="115"/>
        <v>0.40647187994621015</v>
      </c>
      <c r="CK51" s="2">
        <f t="shared" si="115"/>
        <v>0.40647187994940925</v>
      </c>
      <c r="CL51" s="2">
        <f t="shared" si="115"/>
        <v>0.40647187994993778</v>
      </c>
      <c r="CM51" s="2">
        <f t="shared" si="115"/>
        <v>0.40647187995002515</v>
      </c>
      <c r="CN51" s="2">
        <f t="shared" si="115"/>
        <v>0.40647187995003953</v>
      </c>
      <c r="CO51" s="2">
        <f t="shared" si="115"/>
        <v>0.40647187995004191</v>
      </c>
      <c r="CP51" s="2">
        <f t="shared" si="115"/>
        <v>0.40647187995004236</v>
      </c>
      <c r="CQ51" s="2">
        <f t="shared" si="115"/>
        <v>0.40647187995004236</v>
      </c>
      <c r="CR51" s="2">
        <f t="shared" si="115"/>
        <v>0.40647187995004236</v>
      </c>
      <c r="CS51" s="2">
        <f t="shared" si="115"/>
        <v>0.40647187995004236</v>
      </c>
      <c r="CT51" s="2">
        <f t="shared" si="115"/>
        <v>0.40647187995004236</v>
      </c>
      <c r="CU51" s="2">
        <f t="shared" si="115"/>
        <v>0.40647187995004236</v>
      </c>
      <c r="CV51" s="2">
        <f t="shared" si="115"/>
        <v>0.40647187995004236</v>
      </c>
      <c r="CW51" s="2">
        <f t="shared" si="115"/>
        <v>0.40647187995004236</v>
      </c>
      <c r="CX51" s="2">
        <f t="shared" si="115"/>
        <v>0.40647187995004236</v>
      </c>
      <c r="CY51" s="2">
        <f t="shared" si="115"/>
        <v>0.40647187995004236</v>
      </c>
      <c r="CZ51" s="2">
        <f t="shared" si="71"/>
        <v>100</v>
      </c>
      <c r="DB51" s="16"/>
      <c r="DC51" s="37">
        <v>6.0000000000000005E-2</v>
      </c>
      <c r="DD51" s="2">
        <f t="shared" si="72"/>
        <v>300</v>
      </c>
      <c r="DE51" s="2">
        <f t="shared" si="73"/>
        <v>192.12476221558973</v>
      </c>
      <c r="DF51" s="2">
        <f t="shared" si="74"/>
        <v>172.24289966341601</v>
      </c>
      <c r="DG51" s="2">
        <f t="shared" si="75"/>
        <v>163.86648521607773</v>
      </c>
      <c r="DH51" s="2">
        <f t="shared" si="76"/>
        <v>157.31901025501361</v>
      </c>
      <c r="DI51" s="2">
        <f t="shared" si="77"/>
        <v>151.13588755118545</v>
      </c>
      <c r="DJ51" s="2">
        <f t="shared" si="78"/>
        <v>145.10569881589166</v>
      </c>
      <c r="DK51" s="2">
        <f t="shared" si="79"/>
        <v>139.21381896559825</v>
      </c>
      <c r="DL51" s="2">
        <f t="shared" si="80"/>
        <v>133.47556455661055</v>
      </c>
      <c r="DM51" s="2">
        <f t="shared" si="81"/>
        <v>127.90953294118475</v>
      </c>
      <c r="DN51" s="2">
        <f t="shared" si="82"/>
        <v>122.53319503750764</v>
      </c>
      <c r="DO51" s="2">
        <f t="shared" si="83"/>
        <v>117.36203809982013</v>
      </c>
      <c r="DP51" s="2">
        <f t="shared" si="84"/>
        <v>112.40929228542463</v>
      </c>
      <c r="DQ51" s="2">
        <f t="shared" si="85"/>
        <v>107.68577206391271</v>
      </c>
      <c r="DR51" s="2">
        <f t="shared" si="86"/>
        <v>103.19975929375256</v>
      </c>
      <c r="DS51" s="2">
        <f t="shared" si="87"/>
        <v>98.956917219902067</v>
      </c>
      <c r="DT51" s="2">
        <f t="shared" si="88"/>
        <v>94.960234234153063</v>
      </c>
      <c r="DU51" s="2">
        <f t="shared" si="89"/>
        <v>91.209997460546035</v>
      </c>
      <c r="DV51" s="2">
        <f t="shared" si="90"/>
        <v>87.703796131109357</v>
      </c>
      <c r="DW51" s="2">
        <f t="shared" si="91"/>
        <v>84.436554422384475</v>
      </c>
      <c r="DX51" s="2">
        <f t="shared" si="92"/>
        <v>81.40059311121567</v>
      </c>
      <c r="DY51" s="2">
        <f t="shared" si="93"/>
        <v>78.585719110312681</v>
      </c>
      <c r="DZ51" s="2">
        <f t="shared" si="94"/>
        <v>75.97934166707563</v>
      </c>
      <c r="EA51" s="2">
        <f t="shared" si="95"/>
        <v>73.566613755593877</v>
      </c>
      <c r="EB51" s="2">
        <f t="shared" si="96"/>
        <v>71.330596962786743</v>
      </c>
      <c r="EC51" s="2">
        <f t="shared" si="97"/>
        <v>69.25244796580948</v>
      </c>
      <c r="ED51" s="2">
        <f t="shared" si="98"/>
        <v>67.311624519000262</v>
      </c>
      <c r="EE51" s="2">
        <f t="shared" si="99"/>
        <v>65.486108714239833</v>
      </c>
      <c r="EF51" s="2">
        <f t="shared" si="100"/>
        <v>63.752645147744282</v>
      </c>
      <c r="EG51" s="2">
        <f t="shared" si="101"/>
        <v>62.086991517915045</v>
      </c>
      <c r="EH51" s="2">
        <f t="shared" si="102"/>
        <v>60.464179091732944</v>
      </c>
    </row>
    <row r="52" spans="5:138">
      <c r="E52" s="18"/>
      <c r="F52" s="37">
        <v>5.6666666666666671E-2</v>
      </c>
      <c r="G52">
        <f t="shared" si="10"/>
        <v>300</v>
      </c>
      <c r="H52">
        <f t="shared" si="11"/>
        <v>289.38593600154053</v>
      </c>
      <c r="I52">
        <f t="shared" si="12"/>
        <v>278.81536485305895</v>
      </c>
      <c r="J52">
        <f t="shared" si="13"/>
        <v>268.33129219841885</v>
      </c>
      <c r="K52">
        <f t="shared" si="14"/>
        <v>257.97575507539807</v>
      </c>
      <c r="L52">
        <f t="shared" si="15"/>
        <v>247.78935204382523</v>
      </c>
      <c r="M52">
        <f t="shared" si="16"/>
        <v>237.8107903972649</v>
      </c>
      <c r="N52">
        <f t="shared" si="17"/>
        <v>228.07645576842276</v>
      </c>
      <c r="O52">
        <f t="shared" si="18"/>
        <v>218.62000911967755</v>
      </c>
      <c r="P52">
        <f t="shared" si="19"/>
        <v>209.47201572462308</v>
      </c>
      <c r="Q52">
        <f t="shared" si="20"/>
        <v>200.65961030220839</v>
      </c>
      <c r="R52">
        <f t="shared" si="21"/>
        <v>192.20620197099811</v>
      </c>
      <c r="S52">
        <f t="shared" si="22"/>
        <v>184.13122215695711</v>
      </c>
      <c r="T52">
        <f t="shared" si="23"/>
        <v>176.4499180241429</v>
      </c>
      <c r="U52">
        <f t="shared" si="24"/>
        <v>169.17319341403316</v>
      </c>
      <c r="V52">
        <f t="shared" si="25"/>
        <v>162.30749868603726</v>
      </c>
      <c r="W52">
        <f t="shared" si="26"/>
        <v>155.85477025869537</v>
      </c>
      <c r="X52">
        <f t="shared" si="27"/>
        <v>149.81242006714518</v>
      </c>
      <c r="Y52">
        <f t="shared" si="28"/>
        <v>144.17337458572581</v>
      </c>
      <c r="Z52">
        <f t="shared" si="29"/>
        <v>138.92616252213369</v>
      </c>
      <c r="AA52">
        <f t="shared" si="30"/>
        <v>134.05504977723513</v>
      </c>
      <c r="AB52">
        <f t="shared" si="31"/>
        <v>129.54021978713743</v>
      </c>
      <c r="AC52">
        <f t="shared" si="32"/>
        <v>125.35799692487291</v>
      </c>
      <c r="AD52">
        <f t="shared" si="33"/>
        <v>121.48111024031031</v>
      </c>
      <c r="AE52">
        <f t="shared" si="34"/>
        <v>117.87899445985138</v>
      </c>
      <c r="AF52">
        <f t="shared" si="35"/>
        <v>114.51812485229156</v>
      </c>
      <c r="AG52">
        <f t="shared" si="36"/>
        <v>111.36238229332244</v>
      </c>
      <c r="AH52">
        <f t="shared" si="37"/>
        <v>108.37344462730424</v>
      </c>
      <c r="AI52">
        <f t="shared" si="38"/>
        <v>105.51120022948572</v>
      </c>
      <c r="AJ52">
        <f t="shared" si="103"/>
        <v>102.7341795129193</v>
      </c>
      <c r="AK52">
        <f t="shared" si="39"/>
        <v>100</v>
      </c>
      <c r="AL52" s="16"/>
      <c r="AM52" s="37">
        <v>5.6666666666666671E-2</v>
      </c>
      <c r="AN52" s="6">
        <f t="shared" si="40"/>
        <v>-1076400000</v>
      </c>
      <c r="AO52" s="6">
        <f t="shared" si="104"/>
        <v>-1038136677.9746189</v>
      </c>
      <c r="AP52" s="6">
        <f t="shared" si="41"/>
        <v>-1000031425.3282719</v>
      </c>
      <c r="AQ52" s="6">
        <f t="shared" si="42"/>
        <v>-962240539.30702293</v>
      </c>
      <c r="AR52" s="6">
        <f t="shared" si="43"/>
        <v>-924916794.0719341</v>
      </c>
      <c r="AS52" s="6">
        <f t="shared" si="44"/>
        <v>-888207731.79929292</v>
      </c>
      <c r="AT52" s="6">
        <f t="shared" si="45"/>
        <v>-852254016.09203303</v>
      </c>
      <c r="AU52" s="6">
        <f t="shared" si="46"/>
        <v>-817187867.0594995</v>
      </c>
      <c r="AV52" s="6">
        <f t="shared" si="47"/>
        <v>-783131596.25112331</v>
      </c>
      <c r="AW52" s="6">
        <f t="shared" si="48"/>
        <v>-750196258.21321881</v>
      </c>
      <c r="AX52" s="6">
        <f t="shared" si="49"/>
        <v>-718480433.80673766</v>
      </c>
      <c r="AY52" s="6">
        <f t="shared" si="50"/>
        <v>-688069158.61086023</v>
      </c>
      <c r="AZ52" s="6">
        <f t="shared" si="51"/>
        <v>-659033007.77888358</v>
      </c>
      <c r="BA52" s="6">
        <f t="shared" si="52"/>
        <v>-631427346.6466285</v>
      </c>
      <c r="BB52" s="6">
        <f t="shared" si="53"/>
        <v>-605291754.25759971</v>
      </c>
      <c r="BC52" s="6">
        <f t="shared" si="54"/>
        <v>-580649624.80079412</v>
      </c>
      <c r="BD52" s="6">
        <f t="shared" si="55"/>
        <v>-557507949.79202139</v>
      </c>
      <c r="BE52" s="6">
        <f t="shared" si="56"/>
        <v>-535857281.70097548</v>
      </c>
      <c r="BF52" s="6">
        <f t="shared" si="57"/>
        <v>-515671877.66377914</v>
      </c>
      <c r="BG52" s="6">
        <f t="shared" si="58"/>
        <v>-496910019.95002455</v>
      </c>
      <c r="BH52" s="6">
        <f t="shared" si="59"/>
        <v>-479514507.99584389</v>
      </c>
      <c r="BI52" s="6">
        <f t="shared" si="60"/>
        <v>-463413315.08701986</v>
      </c>
      <c r="BJ52" s="6">
        <f t="shared" si="61"/>
        <v>-448520401.19075817</v>
      </c>
      <c r="BK52" s="6">
        <f t="shared" si="62"/>
        <v>-434736671.99924433</v>
      </c>
      <c r="BL52" s="6">
        <f t="shared" si="63"/>
        <v>-421951072.96614456</v>
      </c>
      <c r="BM52" s="6">
        <f t="shared" si="64"/>
        <v>-410041805.98885691</v>
      </c>
      <c r="BN52" s="6">
        <f t="shared" si="65"/>
        <v>-398877655.41162425</v>
      </c>
      <c r="BO52" s="6">
        <f t="shared" si="66"/>
        <v>-388319409.19242108</v>
      </c>
      <c r="BP52" s="6">
        <f t="shared" si="67"/>
        <v>-378221360.38301128</v>
      </c>
      <c r="BQ52" s="6">
        <f t="shared" si="68"/>
        <v>-368432873.50925535</v>
      </c>
      <c r="BR52" s="6">
        <f t="shared" si="69"/>
        <v>-358800000</v>
      </c>
      <c r="BT52" s="16"/>
      <c r="BU52" s="37">
        <v>5.6666666666666671E-2</v>
      </c>
      <c r="BV52" s="2">
        <v>0</v>
      </c>
      <c r="BW52" s="2">
        <f t="shared" ref="BW52:CY52" si="116">$B$20/($B$21-$B$22*BV52)</f>
        <v>0.34883720930232553</v>
      </c>
      <c r="BX52" s="2">
        <f t="shared" si="116"/>
        <v>0.39716748768472904</v>
      </c>
      <c r="BY52" s="2">
        <f t="shared" si="116"/>
        <v>0.40494040593779607</v>
      </c>
      <c r="BZ52" s="2">
        <f t="shared" si="116"/>
        <v>0.4062190081621499</v>
      </c>
      <c r="CA52" s="2">
        <f t="shared" si="116"/>
        <v>0.40643010492156101</v>
      </c>
      <c r="CB52" s="2">
        <f t="shared" si="116"/>
        <v>0.40646497802255066</v>
      </c>
      <c r="CC52" s="2">
        <f t="shared" si="116"/>
        <v>0.40647073962099717</v>
      </c>
      <c r="CD52" s="2">
        <f t="shared" si="116"/>
        <v>0.40647169154566137</v>
      </c>
      <c r="CE52" s="2">
        <f t="shared" si="116"/>
        <v>0.40647184882198806</v>
      </c>
      <c r="CF52" s="2">
        <f t="shared" si="116"/>
        <v>0.40647187480708435</v>
      </c>
      <c r="CG52" s="2">
        <f t="shared" si="116"/>
        <v>0.40647187910032606</v>
      </c>
      <c r="CH52" s="2">
        <f t="shared" si="116"/>
        <v>0.40647187980965277</v>
      </c>
      <c r="CI52" s="2">
        <f t="shared" si="116"/>
        <v>0.4064718799268473</v>
      </c>
      <c r="CJ52" s="2">
        <f t="shared" si="116"/>
        <v>0.40647187994621015</v>
      </c>
      <c r="CK52" s="2">
        <f t="shared" si="116"/>
        <v>0.40647187994940925</v>
      </c>
      <c r="CL52" s="2">
        <f t="shared" si="116"/>
        <v>0.40647187994993778</v>
      </c>
      <c r="CM52" s="2">
        <f t="shared" si="116"/>
        <v>0.40647187995002515</v>
      </c>
      <c r="CN52" s="2">
        <f t="shared" si="116"/>
        <v>0.40647187995003953</v>
      </c>
      <c r="CO52" s="2">
        <f t="shared" si="116"/>
        <v>0.40647187995004191</v>
      </c>
      <c r="CP52" s="2">
        <f t="shared" si="116"/>
        <v>0.40647187995004236</v>
      </c>
      <c r="CQ52" s="2">
        <f t="shared" si="116"/>
        <v>0.40647187995004236</v>
      </c>
      <c r="CR52" s="2">
        <f t="shared" si="116"/>
        <v>0.40647187995004236</v>
      </c>
      <c r="CS52" s="2">
        <f t="shared" si="116"/>
        <v>0.40647187995004236</v>
      </c>
      <c r="CT52" s="2">
        <f t="shared" si="116"/>
        <v>0.40647187995004236</v>
      </c>
      <c r="CU52" s="2">
        <f t="shared" si="116"/>
        <v>0.40647187995004236</v>
      </c>
      <c r="CV52" s="2">
        <f t="shared" si="116"/>
        <v>0.40647187995004236</v>
      </c>
      <c r="CW52" s="2">
        <f t="shared" si="116"/>
        <v>0.40647187995004236</v>
      </c>
      <c r="CX52" s="2">
        <f t="shared" si="116"/>
        <v>0.40647187995004236</v>
      </c>
      <c r="CY52" s="2">
        <f t="shared" si="116"/>
        <v>0.40647187995004236</v>
      </c>
      <c r="CZ52" s="2">
        <f t="shared" si="71"/>
        <v>100</v>
      </c>
      <c r="DB52" s="16"/>
      <c r="DC52" s="37">
        <v>5.6666666666666671E-2</v>
      </c>
      <c r="DD52" s="2">
        <f t="shared" si="72"/>
        <v>300</v>
      </c>
      <c r="DE52" s="2">
        <f t="shared" si="73"/>
        <v>192.12476221558975</v>
      </c>
      <c r="DF52" s="2">
        <f t="shared" si="74"/>
        <v>172.24289966341601</v>
      </c>
      <c r="DG52" s="2">
        <f t="shared" si="75"/>
        <v>163.86648521607773</v>
      </c>
      <c r="DH52" s="2">
        <f t="shared" si="76"/>
        <v>157.31901025501361</v>
      </c>
      <c r="DI52" s="2">
        <f t="shared" si="77"/>
        <v>151.1358875511855</v>
      </c>
      <c r="DJ52" s="2">
        <f t="shared" si="78"/>
        <v>145.10569881589169</v>
      </c>
      <c r="DK52" s="2">
        <f t="shared" si="79"/>
        <v>139.21381896559828</v>
      </c>
      <c r="DL52" s="2">
        <f t="shared" si="80"/>
        <v>133.47556455661061</v>
      </c>
      <c r="DM52" s="2">
        <f t="shared" si="81"/>
        <v>127.90953294118479</v>
      </c>
      <c r="DN52" s="2">
        <f t="shared" si="82"/>
        <v>122.53319503750768</v>
      </c>
      <c r="DO52" s="2">
        <f t="shared" si="83"/>
        <v>117.36203809982015</v>
      </c>
      <c r="DP52" s="2">
        <f t="shared" si="84"/>
        <v>112.40929228542463</v>
      </c>
      <c r="DQ52" s="2">
        <f t="shared" si="85"/>
        <v>107.68577206391271</v>
      </c>
      <c r="DR52" s="2">
        <f t="shared" si="86"/>
        <v>103.19975929375256</v>
      </c>
      <c r="DS52" s="2">
        <f t="shared" si="87"/>
        <v>98.956917219902081</v>
      </c>
      <c r="DT52" s="2">
        <f t="shared" si="88"/>
        <v>94.960234234153077</v>
      </c>
      <c r="DU52" s="2">
        <f t="shared" si="89"/>
        <v>91.209997460546049</v>
      </c>
      <c r="DV52" s="2">
        <f t="shared" si="90"/>
        <v>87.703796131109385</v>
      </c>
      <c r="DW52" s="2">
        <f t="shared" si="91"/>
        <v>84.436554422384489</v>
      </c>
      <c r="DX52" s="2">
        <f t="shared" si="92"/>
        <v>81.400593111215699</v>
      </c>
      <c r="DY52" s="2">
        <f t="shared" si="93"/>
        <v>78.585719110312709</v>
      </c>
      <c r="DZ52" s="2">
        <f t="shared" si="94"/>
        <v>75.97934166707563</v>
      </c>
      <c r="EA52" s="2">
        <f t="shared" si="95"/>
        <v>73.566613755593892</v>
      </c>
      <c r="EB52" s="2">
        <f t="shared" si="96"/>
        <v>71.330596962786757</v>
      </c>
      <c r="EC52" s="2">
        <f t="shared" si="97"/>
        <v>69.25244796580948</v>
      </c>
      <c r="ED52" s="2">
        <f t="shared" si="98"/>
        <v>67.311624519000262</v>
      </c>
      <c r="EE52" s="2">
        <f t="shared" si="99"/>
        <v>65.486108714239833</v>
      </c>
      <c r="EF52" s="2">
        <f t="shared" si="100"/>
        <v>63.752645147744296</v>
      </c>
      <c r="EG52" s="2">
        <f t="shared" si="101"/>
        <v>62.086991517915052</v>
      </c>
      <c r="EH52" s="2">
        <f t="shared" si="102"/>
        <v>60.464179091732944</v>
      </c>
    </row>
    <row r="53" spans="5:138">
      <c r="E53" s="18"/>
      <c r="F53" s="37">
        <v>5.3333333333333337E-2</v>
      </c>
      <c r="G53">
        <f t="shared" si="10"/>
        <v>300</v>
      </c>
      <c r="H53">
        <f t="shared" si="11"/>
        <v>289.38593600154053</v>
      </c>
      <c r="I53">
        <f t="shared" si="12"/>
        <v>278.81536485305895</v>
      </c>
      <c r="J53">
        <f t="shared" si="13"/>
        <v>268.33129219841885</v>
      </c>
      <c r="K53">
        <f t="shared" si="14"/>
        <v>257.97575507539807</v>
      </c>
      <c r="L53">
        <f t="shared" si="15"/>
        <v>247.78935204382523</v>
      </c>
      <c r="M53">
        <f t="shared" si="16"/>
        <v>237.8107903972649</v>
      </c>
      <c r="N53">
        <f t="shared" si="17"/>
        <v>228.07645576842276</v>
      </c>
      <c r="O53">
        <f t="shared" si="18"/>
        <v>218.62000911967755</v>
      </c>
      <c r="P53">
        <f t="shared" si="19"/>
        <v>209.47201572462308</v>
      </c>
      <c r="Q53">
        <f t="shared" si="20"/>
        <v>200.65961030220842</v>
      </c>
      <c r="R53">
        <f t="shared" si="21"/>
        <v>192.20620197099814</v>
      </c>
      <c r="S53">
        <f t="shared" si="22"/>
        <v>184.13122215695716</v>
      </c>
      <c r="T53">
        <f t="shared" si="23"/>
        <v>176.44991802414296</v>
      </c>
      <c r="U53">
        <f t="shared" si="24"/>
        <v>169.17319341403322</v>
      </c>
      <c r="V53">
        <f t="shared" si="25"/>
        <v>162.30749868603729</v>
      </c>
      <c r="W53">
        <f t="shared" si="26"/>
        <v>155.8547702586954</v>
      </c>
      <c r="X53">
        <f t="shared" si="27"/>
        <v>149.81242006714521</v>
      </c>
      <c r="Y53">
        <f t="shared" si="28"/>
        <v>144.17337458572581</v>
      </c>
      <c r="Z53">
        <f t="shared" si="29"/>
        <v>138.92616252213372</v>
      </c>
      <c r="AA53">
        <f t="shared" si="30"/>
        <v>134.05504977723513</v>
      </c>
      <c r="AB53">
        <f t="shared" si="31"/>
        <v>129.54021978713746</v>
      </c>
      <c r="AC53">
        <f t="shared" si="32"/>
        <v>125.35799692487294</v>
      </c>
      <c r="AD53">
        <f t="shared" si="33"/>
        <v>121.48111024031031</v>
      </c>
      <c r="AE53">
        <f t="shared" si="34"/>
        <v>117.8789944598514</v>
      </c>
      <c r="AF53">
        <f t="shared" si="35"/>
        <v>114.51812485229158</v>
      </c>
      <c r="AG53">
        <f t="shared" si="36"/>
        <v>111.36238229332245</v>
      </c>
      <c r="AH53">
        <f t="shared" si="37"/>
        <v>108.37344462730425</v>
      </c>
      <c r="AI53">
        <f t="shared" si="38"/>
        <v>105.51120022948574</v>
      </c>
      <c r="AJ53">
        <f t="shared" si="103"/>
        <v>102.7341795129193</v>
      </c>
      <c r="AK53">
        <f t="shared" si="39"/>
        <v>100</v>
      </c>
      <c r="AL53" s="16"/>
      <c r="AM53" s="37">
        <v>5.3333333333333337E-2</v>
      </c>
      <c r="AN53" s="6">
        <f t="shared" si="40"/>
        <v>-1076400000</v>
      </c>
      <c r="AO53" s="6">
        <f t="shared" si="104"/>
        <v>-1038136677.9746189</v>
      </c>
      <c r="AP53" s="6">
        <f t="shared" si="41"/>
        <v>-1000031425.3282717</v>
      </c>
      <c r="AQ53" s="6">
        <f t="shared" si="42"/>
        <v>-962240539.30702317</v>
      </c>
      <c r="AR53" s="6">
        <f t="shared" si="43"/>
        <v>-924916794.0719341</v>
      </c>
      <c r="AS53" s="6">
        <f t="shared" si="44"/>
        <v>-888207731.79929292</v>
      </c>
      <c r="AT53" s="6">
        <f t="shared" si="45"/>
        <v>-852254016.09203303</v>
      </c>
      <c r="AU53" s="6">
        <f t="shared" si="46"/>
        <v>-817187867.0594995</v>
      </c>
      <c r="AV53" s="6">
        <f t="shared" si="47"/>
        <v>-783131596.25112343</v>
      </c>
      <c r="AW53" s="6">
        <f t="shared" si="48"/>
        <v>-750196258.21321881</v>
      </c>
      <c r="AX53" s="6">
        <f t="shared" si="49"/>
        <v>-718480433.80673766</v>
      </c>
      <c r="AY53" s="6">
        <f t="shared" si="50"/>
        <v>-688069158.61086035</v>
      </c>
      <c r="AZ53" s="6">
        <f t="shared" si="51"/>
        <v>-659033007.77888358</v>
      </c>
      <c r="BA53" s="6">
        <f t="shared" si="52"/>
        <v>-631427346.64662862</v>
      </c>
      <c r="BB53" s="6">
        <f t="shared" si="53"/>
        <v>-605291754.25759983</v>
      </c>
      <c r="BC53" s="6">
        <f t="shared" si="54"/>
        <v>-580649624.80079412</v>
      </c>
      <c r="BD53" s="6">
        <f t="shared" si="55"/>
        <v>-557507949.79202139</v>
      </c>
      <c r="BE53" s="6">
        <f t="shared" si="56"/>
        <v>-535857281.7009756</v>
      </c>
      <c r="BF53" s="6">
        <f t="shared" si="57"/>
        <v>-515671877.6637792</v>
      </c>
      <c r="BG53" s="6">
        <f t="shared" si="58"/>
        <v>-496910019.95002466</v>
      </c>
      <c r="BH53" s="6">
        <f t="shared" si="59"/>
        <v>-479514507.99584389</v>
      </c>
      <c r="BI53" s="6">
        <f t="shared" si="60"/>
        <v>-463413315.08701992</v>
      </c>
      <c r="BJ53" s="6">
        <f t="shared" si="61"/>
        <v>-448520401.19075829</v>
      </c>
      <c r="BK53" s="6">
        <f t="shared" si="62"/>
        <v>-434736671.99924433</v>
      </c>
      <c r="BL53" s="6">
        <f t="shared" si="63"/>
        <v>-421951072.96614462</v>
      </c>
      <c r="BM53" s="6">
        <f t="shared" si="64"/>
        <v>-410041805.98885691</v>
      </c>
      <c r="BN53" s="6">
        <f t="shared" si="65"/>
        <v>-398877655.41162425</v>
      </c>
      <c r="BO53" s="6">
        <f t="shared" si="66"/>
        <v>-388319409.19242108</v>
      </c>
      <c r="BP53" s="6">
        <f t="shared" si="67"/>
        <v>-378221360.38301128</v>
      </c>
      <c r="BQ53" s="6">
        <f t="shared" si="68"/>
        <v>-368432873.50925535</v>
      </c>
      <c r="BR53" s="6">
        <f t="shared" si="69"/>
        <v>-358800000</v>
      </c>
      <c r="BT53" s="16"/>
      <c r="BU53" s="37">
        <v>5.3333333333333337E-2</v>
      </c>
      <c r="BV53" s="2">
        <v>0</v>
      </c>
      <c r="BW53" s="2">
        <f t="shared" ref="BW53:CY53" si="117">$B$20/($B$21-$B$22*BV53)</f>
        <v>0.34883720930232553</v>
      </c>
      <c r="BX53" s="2">
        <f t="shared" si="117"/>
        <v>0.39716748768472904</v>
      </c>
      <c r="BY53" s="2">
        <f t="shared" si="117"/>
        <v>0.40494040593779607</v>
      </c>
      <c r="BZ53" s="2">
        <f t="shared" si="117"/>
        <v>0.4062190081621499</v>
      </c>
      <c r="CA53" s="2">
        <f t="shared" si="117"/>
        <v>0.40643010492156101</v>
      </c>
      <c r="CB53" s="2">
        <f t="shared" si="117"/>
        <v>0.40646497802255066</v>
      </c>
      <c r="CC53" s="2">
        <f t="shared" si="117"/>
        <v>0.40647073962099717</v>
      </c>
      <c r="CD53" s="2">
        <f t="shared" si="117"/>
        <v>0.40647169154566137</v>
      </c>
      <c r="CE53" s="2">
        <f t="shared" si="117"/>
        <v>0.40647184882198806</v>
      </c>
      <c r="CF53" s="2">
        <f t="shared" si="117"/>
        <v>0.40647187480708435</v>
      </c>
      <c r="CG53" s="2">
        <f t="shared" si="117"/>
        <v>0.40647187910032606</v>
      </c>
      <c r="CH53" s="2">
        <f t="shared" si="117"/>
        <v>0.40647187980965277</v>
      </c>
      <c r="CI53" s="2">
        <f t="shared" si="117"/>
        <v>0.4064718799268473</v>
      </c>
      <c r="CJ53" s="2">
        <f t="shared" si="117"/>
        <v>0.40647187994621015</v>
      </c>
      <c r="CK53" s="2">
        <f t="shared" si="117"/>
        <v>0.40647187994940925</v>
      </c>
      <c r="CL53" s="2">
        <f t="shared" si="117"/>
        <v>0.40647187994993778</v>
      </c>
      <c r="CM53" s="2">
        <f t="shared" si="117"/>
        <v>0.40647187995002515</v>
      </c>
      <c r="CN53" s="2">
        <f t="shared" si="117"/>
        <v>0.40647187995003953</v>
      </c>
      <c r="CO53" s="2">
        <f t="shared" si="117"/>
        <v>0.40647187995004191</v>
      </c>
      <c r="CP53" s="2">
        <f t="shared" si="117"/>
        <v>0.40647187995004236</v>
      </c>
      <c r="CQ53" s="2">
        <f t="shared" si="117"/>
        <v>0.40647187995004236</v>
      </c>
      <c r="CR53" s="2">
        <f t="shared" si="117"/>
        <v>0.40647187995004236</v>
      </c>
      <c r="CS53" s="2">
        <f t="shared" si="117"/>
        <v>0.40647187995004236</v>
      </c>
      <c r="CT53" s="2">
        <f t="shared" si="117"/>
        <v>0.40647187995004236</v>
      </c>
      <c r="CU53" s="2">
        <f t="shared" si="117"/>
        <v>0.40647187995004236</v>
      </c>
      <c r="CV53" s="2">
        <f t="shared" si="117"/>
        <v>0.40647187995004236</v>
      </c>
      <c r="CW53" s="2">
        <f t="shared" si="117"/>
        <v>0.40647187995004236</v>
      </c>
      <c r="CX53" s="2">
        <f t="shared" si="117"/>
        <v>0.40647187995004236</v>
      </c>
      <c r="CY53" s="2">
        <f t="shared" si="117"/>
        <v>0.40647187995004236</v>
      </c>
      <c r="CZ53" s="2">
        <f t="shared" si="71"/>
        <v>100</v>
      </c>
      <c r="DB53" s="16"/>
      <c r="DC53" s="37">
        <v>5.3333333333333337E-2</v>
      </c>
      <c r="DD53" s="2">
        <f t="shared" si="72"/>
        <v>300</v>
      </c>
      <c r="DE53" s="2">
        <f t="shared" si="73"/>
        <v>192.12476221558975</v>
      </c>
      <c r="DF53" s="2">
        <f t="shared" si="74"/>
        <v>172.24289966341601</v>
      </c>
      <c r="DG53" s="2">
        <f t="shared" si="75"/>
        <v>163.86648521607773</v>
      </c>
      <c r="DH53" s="2">
        <f t="shared" si="76"/>
        <v>157.31901025501361</v>
      </c>
      <c r="DI53" s="2">
        <f t="shared" si="77"/>
        <v>151.1358875511855</v>
      </c>
      <c r="DJ53" s="2">
        <f t="shared" si="78"/>
        <v>145.10569881589169</v>
      </c>
      <c r="DK53" s="2">
        <f t="shared" si="79"/>
        <v>139.21381896559828</v>
      </c>
      <c r="DL53" s="2">
        <f t="shared" si="80"/>
        <v>133.47556455661061</v>
      </c>
      <c r="DM53" s="2">
        <f t="shared" si="81"/>
        <v>127.90953294118479</v>
      </c>
      <c r="DN53" s="2">
        <f t="shared" si="82"/>
        <v>122.53319503750768</v>
      </c>
      <c r="DO53" s="2">
        <f t="shared" si="83"/>
        <v>117.36203809982017</v>
      </c>
      <c r="DP53" s="2">
        <f t="shared" si="84"/>
        <v>112.40929228542463</v>
      </c>
      <c r="DQ53" s="2">
        <f t="shared" si="85"/>
        <v>107.68577206391274</v>
      </c>
      <c r="DR53" s="2">
        <f t="shared" si="86"/>
        <v>103.19975929375259</v>
      </c>
      <c r="DS53" s="2">
        <f t="shared" si="87"/>
        <v>98.956917219902095</v>
      </c>
      <c r="DT53" s="2">
        <f t="shared" si="88"/>
        <v>94.960234234153091</v>
      </c>
      <c r="DU53" s="2">
        <f t="shared" si="89"/>
        <v>91.209997460546063</v>
      </c>
      <c r="DV53" s="2">
        <f t="shared" si="90"/>
        <v>87.703796131109385</v>
      </c>
      <c r="DW53" s="2">
        <f t="shared" si="91"/>
        <v>84.436554422384503</v>
      </c>
      <c r="DX53" s="2">
        <f t="shared" si="92"/>
        <v>81.400593111215699</v>
      </c>
      <c r="DY53" s="2">
        <f t="shared" si="93"/>
        <v>78.585719110312724</v>
      </c>
      <c r="DZ53" s="2">
        <f t="shared" si="94"/>
        <v>75.979341667075659</v>
      </c>
      <c r="EA53" s="2">
        <f t="shared" si="95"/>
        <v>73.566613755593892</v>
      </c>
      <c r="EB53" s="2">
        <f t="shared" si="96"/>
        <v>71.330596962786771</v>
      </c>
      <c r="EC53" s="2">
        <f t="shared" si="97"/>
        <v>69.252447965809495</v>
      </c>
      <c r="ED53" s="2">
        <f t="shared" si="98"/>
        <v>67.311624519000276</v>
      </c>
      <c r="EE53" s="2">
        <f t="shared" si="99"/>
        <v>65.486108714239847</v>
      </c>
      <c r="EF53" s="2">
        <f t="shared" si="100"/>
        <v>63.752645147744303</v>
      </c>
      <c r="EG53" s="2">
        <f t="shared" si="101"/>
        <v>62.086991517915052</v>
      </c>
      <c r="EH53" s="2">
        <f t="shared" si="102"/>
        <v>60.464179091732944</v>
      </c>
    </row>
    <row r="54" spans="5:138">
      <c r="E54" s="18"/>
      <c r="F54" s="37">
        <v>0.05</v>
      </c>
      <c r="G54">
        <f t="shared" si="10"/>
        <v>300</v>
      </c>
      <c r="H54">
        <f t="shared" si="11"/>
        <v>289.38593600154053</v>
      </c>
      <c r="I54">
        <f t="shared" si="12"/>
        <v>278.81536485305895</v>
      </c>
      <c r="J54">
        <f t="shared" si="13"/>
        <v>268.33129219841885</v>
      </c>
      <c r="K54">
        <f t="shared" si="14"/>
        <v>257.97575507539807</v>
      </c>
      <c r="L54">
        <f t="shared" si="15"/>
        <v>247.78935204382523</v>
      </c>
      <c r="M54">
        <f t="shared" si="16"/>
        <v>237.8107903972649</v>
      </c>
      <c r="N54">
        <f t="shared" si="17"/>
        <v>228.07645576842276</v>
      </c>
      <c r="O54">
        <f t="shared" si="18"/>
        <v>218.62000911967755</v>
      </c>
      <c r="P54">
        <f t="shared" si="19"/>
        <v>209.47201572462308</v>
      </c>
      <c r="Q54">
        <f t="shared" si="20"/>
        <v>200.65961030220842</v>
      </c>
      <c r="R54">
        <f t="shared" si="21"/>
        <v>192.20620197099814</v>
      </c>
      <c r="S54">
        <f t="shared" si="22"/>
        <v>184.13122215695716</v>
      </c>
      <c r="T54">
        <f t="shared" si="23"/>
        <v>176.44991802414296</v>
      </c>
      <c r="U54">
        <f t="shared" si="24"/>
        <v>169.17319341403322</v>
      </c>
      <c r="V54">
        <f t="shared" si="25"/>
        <v>162.30749868603729</v>
      </c>
      <c r="W54">
        <f t="shared" si="26"/>
        <v>155.8547702586954</v>
      </c>
      <c r="X54">
        <f t="shared" si="27"/>
        <v>149.81242006714521</v>
      </c>
      <c r="Y54">
        <f t="shared" si="28"/>
        <v>144.17337458572581</v>
      </c>
      <c r="Z54">
        <f t="shared" si="29"/>
        <v>138.92616252213372</v>
      </c>
      <c r="AA54">
        <f t="shared" si="30"/>
        <v>134.05504977723513</v>
      </c>
      <c r="AB54">
        <f t="shared" si="31"/>
        <v>129.54021978713746</v>
      </c>
      <c r="AC54">
        <f t="shared" si="32"/>
        <v>125.35799692487294</v>
      </c>
      <c r="AD54">
        <f t="shared" si="33"/>
        <v>121.48111024031031</v>
      </c>
      <c r="AE54">
        <f t="shared" si="34"/>
        <v>117.8789944598514</v>
      </c>
      <c r="AF54">
        <f t="shared" si="35"/>
        <v>114.51812485229158</v>
      </c>
      <c r="AG54">
        <f t="shared" si="36"/>
        <v>111.36238229332245</v>
      </c>
      <c r="AH54">
        <f t="shared" si="37"/>
        <v>108.37344462730425</v>
      </c>
      <c r="AI54">
        <f t="shared" si="38"/>
        <v>105.51120022948574</v>
      </c>
      <c r="AJ54">
        <f t="shared" si="103"/>
        <v>102.7341795129193</v>
      </c>
      <c r="AK54">
        <f t="shared" si="39"/>
        <v>100</v>
      </c>
      <c r="AL54" s="16"/>
      <c r="AM54" s="37">
        <v>0.05</v>
      </c>
      <c r="AN54" s="6">
        <f t="shared" si="40"/>
        <v>-1076400000</v>
      </c>
      <c r="AO54" s="6">
        <f t="shared" si="104"/>
        <v>-1038136677.9746189</v>
      </c>
      <c r="AP54" s="6">
        <f t="shared" si="41"/>
        <v>-1000031425.3282717</v>
      </c>
      <c r="AQ54" s="6">
        <f t="shared" si="42"/>
        <v>-962240539.30702317</v>
      </c>
      <c r="AR54" s="6">
        <f t="shared" si="43"/>
        <v>-924916794.0719341</v>
      </c>
      <c r="AS54" s="6">
        <f t="shared" si="44"/>
        <v>-888207731.79929292</v>
      </c>
      <c r="AT54" s="6">
        <f t="shared" si="45"/>
        <v>-852254016.09203303</v>
      </c>
      <c r="AU54" s="6">
        <f t="shared" si="46"/>
        <v>-817187867.0594995</v>
      </c>
      <c r="AV54" s="6">
        <f t="shared" si="47"/>
        <v>-783131596.25112343</v>
      </c>
      <c r="AW54" s="6">
        <f t="shared" si="48"/>
        <v>-750196258.21321881</v>
      </c>
      <c r="AX54" s="6">
        <f t="shared" si="49"/>
        <v>-718480433.80673778</v>
      </c>
      <c r="AY54" s="6">
        <f t="shared" si="50"/>
        <v>-688069158.61086035</v>
      </c>
      <c r="AZ54" s="6">
        <f t="shared" si="51"/>
        <v>-659033007.77888358</v>
      </c>
      <c r="BA54" s="6">
        <f t="shared" si="52"/>
        <v>-631427346.64662862</v>
      </c>
      <c r="BB54" s="6">
        <f t="shared" si="53"/>
        <v>-605291754.25759983</v>
      </c>
      <c r="BC54" s="6">
        <f t="shared" si="54"/>
        <v>-580649624.80079424</v>
      </c>
      <c r="BD54" s="6">
        <f t="shared" si="55"/>
        <v>-557507949.79202139</v>
      </c>
      <c r="BE54" s="6">
        <f t="shared" si="56"/>
        <v>-535857281.7009756</v>
      </c>
      <c r="BF54" s="6">
        <f t="shared" si="57"/>
        <v>-515671877.6637792</v>
      </c>
      <c r="BG54" s="6">
        <f t="shared" si="58"/>
        <v>-496910019.95002466</v>
      </c>
      <c r="BH54" s="6">
        <f t="shared" si="59"/>
        <v>-479514507.99584389</v>
      </c>
      <c r="BI54" s="6">
        <f t="shared" si="60"/>
        <v>-463413315.08701992</v>
      </c>
      <c r="BJ54" s="6">
        <f t="shared" si="61"/>
        <v>-448520401.19075829</v>
      </c>
      <c r="BK54" s="6">
        <f t="shared" si="62"/>
        <v>-434736671.99924433</v>
      </c>
      <c r="BL54" s="6">
        <f t="shared" si="63"/>
        <v>-421951072.96614462</v>
      </c>
      <c r="BM54" s="6">
        <f t="shared" si="64"/>
        <v>-410041805.98885691</v>
      </c>
      <c r="BN54" s="6">
        <f t="shared" si="65"/>
        <v>-398877655.41162425</v>
      </c>
      <c r="BO54" s="6">
        <f t="shared" si="66"/>
        <v>-388319409.19242108</v>
      </c>
      <c r="BP54" s="6">
        <f t="shared" si="67"/>
        <v>-378221360.38301128</v>
      </c>
      <c r="BQ54" s="6">
        <f t="shared" si="68"/>
        <v>-368432873.50925535</v>
      </c>
      <c r="BR54" s="6">
        <f t="shared" si="69"/>
        <v>-358800000</v>
      </c>
      <c r="BT54" s="16"/>
      <c r="BU54" s="37">
        <v>0.05</v>
      </c>
      <c r="BV54" s="2">
        <v>0</v>
      </c>
      <c r="BW54" s="2">
        <f t="shared" ref="BW54:CY54" si="118">$B$20/($B$21-$B$22*BV54)</f>
        <v>0.34883720930232553</v>
      </c>
      <c r="BX54" s="2">
        <f t="shared" si="118"/>
        <v>0.39716748768472904</v>
      </c>
      <c r="BY54" s="2">
        <f t="shared" si="118"/>
        <v>0.40494040593779607</v>
      </c>
      <c r="BZ54" s="2">
        <f t="shared" si="118"/>
        <v>0.4062190081621499</v>
      </c>
      <c r="CA54" s="2">
        <f t="shared" si="118"/>
        <v>0.40643010492156101</v>
      </c>
      <c r="CB54" s="2">
        <f t="shared" si="118"/>
        <v>0.40646497802255066</v>
      </c>
      <c r="CC54" s="2">
        <f t="shared" si="118"/>
        <v>0.40647073962099717</v>
      </c>
      <c r="CD54" s="2">
        <f t="shared" si="118"/>
        <v>0.40647169154566137</v>
      </c>
      <c r="CE54" s="2">
        <f t="shared" si="118"/>
        <v>0.40647184882198806</v>
      </c>
      <c r="CF54" s="2">
        <f t="shared" si="118"/>
        <v>0.40647187480708435</v>
      </c>
      <c r="CG54" s="2">
        <f t="shared" si="118"/>
        <v>0.40647187910032606</v>
      </c>
      <c r="CH54" s="2">
        <f t="shared" si="118"/>
        <v>0.40647187980965277</v>
      </c>
      <c r="CI54" s="2">
        <f t="shared" si="118"/>
        <v>0.4064718799268473</v>
      </c>
      <c r="CJ54" s="2">
        <f t="shared" si="118"/>
        <v>0.40647187994621015</v>
      </c>
      <c r="CK54" s="2">
        <f t="shared" si="118"/>
        <v>0.40647187994940925</v>
      </c>
      <c r="CL54" s="2">
        <f t="shared" si="118"/>
        <v>0.40647187994993778</v>
      </c>
      <c r="CM54" s="2">
        <f t="shared" si="118"/>
        <v>0.40647187995002515</v>
      </c>
      <c r="CN54" s="2">
        <f t="shared" si="118"/>
        <v>0.40647187995003953</v>
      </c>
      <c r="CO54" s="2">
        <f t="shared" si="118"/>
        <v>0.40647187995004191</v>
      </c>
      <c r="CP54" s="2">
        <f t="shared" si="118"/>
        <v>0.40647187995004236</v>
      </c>
      <c r="CQ54" s="2">
        <f t="shared" si="118"/>
        <v>0.40647187995004236</v>
      </c>
      <c r="CR54" s="2">
        <f t="shared" si="118"/>
        <v>0.40647187995004236</v>
      </c>
      <c r="CS54" s="2">
        <f t="shared" si="118"/>
        <v>0.40647187995004236</v>
      </c>
      <c r="CT54" s="2">
        <f t="shared" si="118"/>
        <v>0.40647187995004236</v>
      </c>
      <c r="CU54" s="2">
        <f t="shared" si="118"/>
        <v>0.40647187995004236</v>
      </c>
      <c r="CV54" s="2">
        <f t="shared" si="118"/>
        <v>0.40647187995004236</v>
      </c>
      <c r="CW54" s="2">
        <f t="shared" si="118"/>
        <v>0.40647187995004236</v>
      </c>
      <c r="CX54" s="2">
        <f t="shared" si="118"/>
        <v>0.40647187995004236</v>
      </c>
      <c r="CY54" s="2">
        <f t="shared" si="118"/>
        <v>0.40647187995004236</v>
      </c>
      <c r="CZ54" s="2">
        <f t="shared" si="71"/>
        <v>100</v>
      </c>
      <c r="DB54" s="16"/>
      <c r="DC54" s="37">
        <v>0.05</v>
      </c>
      <c r="DD54" s="2">
        <f t="shared" si="72"/>
        <v>300</v>
      </c>
      <c r="DE54" s="2">
        <f t="shared" si="73"/>
        <v>192.12476221558975</v>
      </c>
      <c r="DF54" s="2">
        <f t="shared" si="74"/>
        <v>172.24289966341601</v>
      </c>
      <c r="DG54" s="2">
        <f t="shared" si="75"/>
        <v>163.86648521607773</v>
      </c>
      <c r="DH54" s="2">
        <f t="shared" si="76"/>
        <v>157.31901025501361</v>
      </c>
      <c r="DI54" s="2">
        <f t="shared" si="77"/>
        <v>151.1358875511855</v>
      </c>
      <c r="DJ54" s="2">
        <f t="shared" si="78"/>
        <v>145.10569881589169</v>
      </c>
      <c r="DK54" s="2">
        <f t="shared" si="79"/>
        <v>139.21381896559828</v>
      </c>
      <c r="DL54" s="2">
        <f t="shared" si="80"/>
        <v>133.47556455661061</v>
      </c>
      <c r="DM54" s="2">
        <f t="shared" si="81"/>
        <v>127.90953294118479</v>
      </c>
      <c r="DN54" s="2">
        <f t="shared" si="82"/>
        <v>122.53319503750771</v>
      </c>
      <c r="DO54" s="2">
        <f t="shared" si="83"/>
        <v>117.36203809982017</v>
      </c>
      <c r="DP54" s="2">
        <f t="shared" si="84"/>
        <v>112.40929228542463</v>
      </c>
      <c r="DQ54" s="2">
        <f t="shared" si="85"/>
        <v>107.68577206391274</v>
      </c>
      <c r="DR54" s="2">
        <f t="shared" si="86"/>
        <v>103.19975929375259</v>
      </c>
      <c r="DS54" s="2">
        <f t="shared" si="87"/>
        <v>98.956917219902095</v>
      </c>
      <c r="DT54" s="2">
        <f t="shared" si="88"/>
        <v>94.960234234153091</v>
      </c>
      <c r="DU54" s="2">
        <f t="shared" si="89"/>
        <v>91.209997460546063</v>
      </c>
      <c r="DV54" s="2">
        <f t="shared" si="90"/>
        <v>87.703796131109385</v>
      </c>
      <c r="DW54" s="2">
        <f t="shared" si="91"/>
        <v>84.436554422384503</v>
      </c>
      <c r="DX54" s="2">
        <f t="shared" si="92"/>
        <v>81.400593111215699</v>
      </c>
      <c r="DY54" s="2">
        <f t="shared" si="93"/>
        <v>78.585719110312724</v>
      </c>
      <c r="DZ54" s="2">
        <f t="shared" si="94"/>
        <v>75.979341667075659</v>
      </c>
      <c r="EA54" s="2">
        <f t="shared" si="95"/>
        <v>73.566613755593892</v>
      </c>
      <c r="EB54" s="2">
        <f t="shared" si="96"/>
        <v>71.330596962786771</v>
      </c>
      <c r="EC54" s="2">
        <f t="shared" si="97"/>
        <v>69.252447965809495</v>
      </c>
      <c r="ED54" s="2">
        <f t="shared" si="98"/>
        <v>67.311624519000276</v>
      </c>
      <c r="EE54" s="2">
        <f t="shared" si="99"/>
        <v>65.486108714239847</v>
      </c>
      <c r="EF54" s="2">
        <f t="shared" si="100"/>
        <v>63.752645147744303</v>
      </c>
      <c r="EG54" s="2">
        <f t="shared" si="101"/>
        <v>62.086991517915052</v>
      </c>
      <c r="EH54" s="2">
        <f t="shared" si="102"/>
        <v>60.464179091732944</v>
      </c>
    </row>
    <row r="55" spans="5:138">
      <c r="E55" s="18"/>
      <c r="F55" s="37">
        <v>4.6666666666666669E-2</v>
      </c>
      <c r="G55">
        <f t="shared" si="10"/>
        <v>300</v>
      </c>
      <c r="H55">
        <f t="shared" si="11"/>
        <v>289.38593600154059</v>
      </c>
      <c r="I55">
        <f t="shared" si="12"/>
        <v>278.81536485305901</v>
      </c>
      <c r="J55">
        <f t="shared" si="13"/>
        <v>268.33129219841896</v>
      </c>
      <c r="K55">
        <f t="shared" si="14"/>
        <v>257.97575507539813</v>
      </c>
      <c r="L55">
        <f t="shared" si="15"/>
        <v>247.78935204382526</v>
      </c>
      <c r="M55">
        <f t="shared" si="16"/>
        <v>237.81079039726495</v>
      </c>
      <c r="N55">
        <f t="shared" si="17"/>
        <v>228.07645576842282</v>
      </c>
      <c r="O55">
        <f t="shared" si="18"/>
        <v>218.6200091196776</v>
      </c>
      <c r="P55">
        <f t="shared" si="19"/>
        <v>209.47201572462313</v>
      </c>
      <c r="Q55">
        <f t="shared" si="20"/>
        <v>200.65961030220848</v>
      </c>
      <c r="R55">
        <f t="shared" si="21"/>
        <v>192.20620197099819</v>
      </c>
      <c r="S55">
        <f t="shared" si="22"/>
        <v>184.13122215695722</v>
      </c>
      <c r="T55">
        <f t="shared" si="23"/>
        <v>176.44991802414302</v>
      </c>
      <c r="U55">
        <f t="shared" si="24"/>
        <v>169.17319341403325</v>
      </c>
      <c r="V55">
        <f t="shared" si="25"/>
        <v>162.30749868603735</v>
      </c>
      <c r="W55">
        <f t="shared" si="26"/>
        <v>155.85477025869542</v>
      </c>
      <c r="X55">
        <f t="shared" si="27"/>
        <v>149.81242006714524</v>
      </c>
      <c r="Y55">
        <f t="shared" si="28"/>
        <v>144.17337458572584</v>
      </c>
      <c r="Z55">
        <f t="shared" si="29"/>
        <v>138.92616252213375</v>
      </c>
      <c r="AA55">
        <f t="shared" si="30"/>
        <v>134.05504977723518</v>
      </c>
      <c r="AB55">
        <f t="shared" si="31"/>
        <v>129.54021978713746</v>
      </c>
      <c r="AC55">
        <f t="shared" si="32"/>
        <v>125.35799692487294</v>
      </c>
      <c r="AD55">
        <f t="shared" si="33"/>
        <v>121.48111024031033</v>
      </c>
      <c r="AE55">
        <f t="shared" si="34"/>
        <v>117.87899445985141</v>
      </c>
      <c r="AF55">
        <f t="shared" si="35"/>
        <v>114.51812485229161</v>
      </c>
      <c r="AG55">
        <f t="shared" si="36"/>
        <v>111.36238229332247</v>
      </c>
      <c r="AH55">
        <f t="shared" si="37"/>
        <v>108.37344462730428</v>
      </c>
      <c r="AI55">
        <f t="shared" si="38"/>
        <v>105.51120022948574</v>
      </c>
      <c r="AJ55">
        <f t="shared" si="103"/>
        <v>102.7341795129193</v>
      </c>
      <c r="AK55">
        <f t="shared" si="39"/>
        <v>100</v>
      </c>
      <c r="AL55" s="16"/>
      <c r="AM55" s="37">
        <v>4.6666666666666669E-2</v>
      </c>
      <c r="AN55" s="6">
        <f t="shared" si="40"/>
        <v>-1076400000</v>
      </c>
      <c r="AO55" s="6">
        <f t="shared" si="104"/>
        <v>-1038136677.9746189</v>
      </c>
      <c r="AP55" s="6">
        <f t="shared" si="41"/>
        <v>-1000031425.3282717</v>
      </c>
      <c r="AQ55" s="6">
        <f t="shared" si="42"/>
        <v>-962240539.30702329</v>
      </c>
      <c r="AR55" s="6">
        <f t="shared" si="43"/>
        <v>-924916794.07193434</v>
      </c>
      <c r="AS55" s="6">
        <f t="shared" si="44"/>
        <v>-888207731.79929316</v>
      </c>
      <c r="AT55" s="6">
        <f t="shared" si="45"/>
        <v>-852254016.09203327</v>
      </c>
      <c r="AU55" s="6">
        <f t="shared" si="46"/>
        <v>-817187867.05949974</v>
      </c>
      <c r="AV55" s="6">
        <f t="shared" si="47"/>
        <v>-783131596.25112355</v>
      </c>
      <c r="AW55" s="6">
        <f t="shared" si="48"/>
        <v>-750196258.21321893</v>
      </c>
      <c r="AX55" s="6">
        <f t="shared" si="49"/>
        <v>-718480433.8067379</v>
      </c>
      <c r="AY55" s="6">
        <f t="shared" si="50"/>
        <v>-688069158.61086047</v>
      </c>
      <c r="AZ55" s="6">
        <f t="shared" si="51"/>
        <v>-659033007.77888381</v>
      </c>
      <c r="BA55" s="6">
        <f t="shared" si="52"/>
        <v>-631427346.64662862</v>
      </c>
      <c r="BB55" s="6">
        <f t="shared" si="53"/>
        <v>-605291754.25759995</v>
      </c>
      <c r="BC55" s="6">
        <f t="shared" si="54"/>
        <v>-580649624.80079448</v>
      </c>
      <c r="BD55" s="6">
        <f t="shared" si="55"/>
        <v>-557507949.79202139</v>
      </c>
      <c r="BE55" s="6">
        <f t="shared" si="56"/>
        <v>-535857281.70097572</v>
      </c>
      <c r="BF55" s="6">
        <f t="shared" si="57"/>
        <v>-515671877.66377932</v>
      </c>
      <c r="BG55" s="6">
        <f t="shared" si="58"/>
        <v>-496910019.95002478</v>
      </c>
      <c r="BH55" s="6">
        <f t="shared" si="59"/>
        <v>-479514507.99584401</v>
      </c>
      <c r="BI55" s="6">
        <f t="shared" si="60"/>
        <v>-463413315.08701992</v>
      </c>
      <c r="BJ55" s="6">
        <f t="shared" si="61"/>
        <v>-448520401.19075841</v>
      </c>
      <c r="BK55" s="6">
        <f t="shared" si="62"/>
        <v>-434736671.99924439</v>
      </c>
      <c r="BL55" s="6">
        <f t="shared" si="63"/>
        <v>-421951072.96614468</v>
      </c>
      <c r="BM55" s="6">
        <f t="shared" si="64"/>
        <v>-410041805.98885697</v>
      </c>
      <c r="BN55" s="6">
        <f t="shared" si="65"/>
        <v>-398877655.41162437</v>
      </c>
      <c r="BO55" s="6">
        <f t="shared" si="66"/>
        <v>-388319409.1924212</v>
      </c>
      <c r="BP55" s="6">
        <f t="shared" si="67"/>
        <v>-378221360.38301134</v>
      </c>
      <c r="BQ55" s="6">
        <f t="shared" si="68"/>
        <v>-368432873.50925547</v>
      </c>
      <c r="BR55" s="6">
        <f t="shared" si="69"/>
        <v>-358800000</v>
      </c>
      <c r="BT55" s="16"/>
      <c r="BU55" s="37">
        <v>4.6666666666666669E-2</v>
      </c>
      <c r="BV55" s="2">
        <v>0</v>
      </c>
      <c r="BW55" s="2">
        <f t="shared" ref="BW55:CY55" si="119">$B$20/($B$21-$B$22*BV55)</f>
        <v>0.34883720930232553</v>
      </c>
      <c r="BX55" s="2">
        <f t="shared" si="119"/>
        <v>0.39716748768472904</v>
      </c>
      <c r="BY55" s="2">
        <f t="shared" si="119"/>
        <v>0.40494040593779607</v>
      </c>
      <c r="BZ55" s="2">
        <f t="shared" si="119"/>
        <v>0.4062190081621499</v>
      </c>
      <c r="CA55" s="2">
        <f t="shared" si="119"/>
        <v>0.40643010492156101</v>
      </c>
      <c r="CB55" s="2">
        <f t="shared" si="119"/>
        <v>0.40646497802255066</v>
      </c>
      <c r="CC55" s="2">
        <f t="shared" si="119"/>
        <v>0.40647073962099717</v>
      </c>
      <c r="CD55" s="2">
        <f t="shared" si="119"/>
        <v>0.40647169154566137</v>
      </c>
      <c r="CE55" s="2">
        <f t="shared" si="119"/>
        <v>0.40647184882198806</v>
      </c>
      <c r="CF55" s="2">
        <f t="shared" si="119"/>
        <v>0.40647187480708435</v>
      </c>
      <c r="CG55" s="2">
        <f t="shared" si="119"/>
        <v>0.40647187910032606</v>
      </c>
      <c r="CH55" s="2">
        <f t="shared" si="119"/>
        <v>0.40647187980965277</v>
      </c>
      <c r="CI55" s="2">
        <f t="shared" si="119"/>
        <v>0.4064718799268473</v>
      </c>
      <c r="CJ55" s="2">
        <f t="shared" si="119"/>
        <v>0.40647187994621015</v>
      </c>
      <c r="CK55" s="2">
        <f t="shared" si="119"/>
        <v>0.40647187994940925</v>
      </c>
      <c r="CL55" s="2">
        <f t="shared" si="119"/>
        <v>0.40647187994993778</v>
      </c>
      <c r="CM55" s="2">
        <f t="shared" si="119"/>
        <v>0.40647187995002515</v>
      </c>
      <c r="CN55" s="2">
        <f t="shared" si="119"/>
        <v>0.40647187995003953</v>
      </c>
      <c r="CO55" s="2">
        <f t="shared" si="119"/>
        <v>0.40647187995004191</v>
      </c>
      <c r="CP55" s="2">
        <f t="shared" si="119"/>
        <v>0.40647187995004236</v>
      </c>
      <c r="CQ55" s="2">
        <f t="shared" si="119"/>
        <v>0.40647187995004236</v>
      </c>
      <c r="CR55" s="2">
        <f t="shared" si="119"/>
        <v>0.40647187995004236</v>
      </c>
      <c r="CS55" s="2">
        <f t="shared" si="119"/>
        <v>0.40647187995004236</v>
      </c>
      <c r="CT55" s="2">
        <f t="shared" si="119"/>
        <v>0.40647187995004236</v>
      </c>
      <c r="CU55" s="2">
        <f t="shared" si="119"/>
        <v>0.40647187995004236</v>
      </c>
      <c r="CV55" s="2">
        <f t="shared" si="119"/>
        <v>0.40647187995004236</v>
      </c>
      <c r="CW55" s="2">
        <f t="shared" si="119"/>
        <v>0.40647187995004236</v>
      </c>
      <c r="CX55" s="2">
        <f t="shared" si="119"/>
        <v>0.40647187995004236</v>
      </c>
      <c r="CY55" s="2">
        <f t="shared" si="119"/>
        <v>0.40647187995004236</v>
      </c>
      <c r="CZ55" s="2">
        <f t="shared" si="71"/>
        <v>100</v>
      </c>
      <c r="DB55" s="16"/>
      <c r="DC55" s="37">
        <v>4.6666666666666669E-2</v>
      </c>
      <c r="DD55" s="2">
        <f t="shared" si="72"/>
        <v>300</v>
      </c>
      <c r="DE55" s="2">
        <f t="shared" si="73"/>
        <v>192.12476221558975</v>
      </c>
      <c r="DF55" s="2">
        <f t="shared" si="74"/>
        <v>172.24289966341601</v>
      </c>
      <c r="DG55" s="2">
        <f t="shared" si="75"/>
        <v>163.86648521607776</v>
      </c>
      <c r="DH55" s="2">
        <f t="shared" si="76"/>
        <v>157.31901025501364</v>
      </c>
      <c r="DI55" s="2">
        <f t="shared" si="77"/>
        <v>151.1358875511855</v>
      </c>
      <c r="DJ55" s="2">
        <f t="shared" si="78"/>
        <v>145.10569881589174</v>
      </c>
      <c r="DK55" s="2">
        <f t="shared" si="79"/>
        <v>139.21381896559834</v>
      </c>
      <c r="DL55" s="2">
        <f t="shared" si="80"/>
        <v>133.47556455661066</v>
      </c>
      <c r="DM55" s="2">
        <f t="shared" si="81"/>
        <v>127.90953294118482</v>
      </c>
      <c r="DN55" s="2">
        <f t="shared" si="82"/>
        <v>122.53319503750771</v>
      </c>
      <c r="DO55" s="2">
        <f t="shared" si="83"/>
        <v>117.3620380998202</v>
      </c>
      <c r="DP55" s="2">
        <f t="shared" si="84"/>
        <v>112.40929228542467</v>
      </c>
      <c r="DQ55" s="2">
        <f t="shared" si="85"/>
        <v>107.68577206391276</v>
      </c>
      <c r="DR55" s="2">
        <f t="shared" si="86"/>
        <v>103.19975929375262</v>
      </c>
      <c r="DS55" s="2">
        <f t="shared" si="87"/>
        <v>98.956917219902138</v>
      </c>
      <c r="DT55" s="2">
        <f t="shared" si="88"/>
        <v>94.960234234153106</v>
      </c>
      <c r="DU55" s="2">
        <f t="shared" si="89"/>
        <v>91.209997460546077</v>
      </c>
      <c r="DV55" s="2">
        <f t="shared" si="90"/>
        <v>87.703796131109399</v>
      </c>
      <c r="DW55" s="2">
        <f t="shared" si="91"/>
        <v>84.436554422384518</v>
      </c>
      <c r="DX55" s="2">
        <f t="shared" si="92"/>
        <v>81.400593111215727</v>
      </c>
      <c r="DY55" s="2">
        <f t="shared" si="93"/>
        <v>78.585719110312724</v>
      </c>
      <c r="DZ55" s="2">
        <f t="shared" si="94"/>
        <v>75.979341667075659</v>
      </c>
      <c r="EA55" s="2">
        <f t="shared" si="95"/>
        <v>73.566613755593892</v>
      </c>
      <c r="EB55" s="2">
        <f t="shared" si="96"/>
        <v>71.330596962786771</v>
      </c>
      <c r="EC55" s="2">
        <f t="shared" si="97"/>
        <v>69.252447965809509</v>
      </c>
      <c r="ED55" s="2">
        <f t="shared" si="98"/>
        <v>67.31162451900029</v>
      </c>
      <c r="EE55" s="2">
        <f t="shared" si="99"/>
        <v>65.486108714239862</v>
      </c>
      <c r="EF55" s="2">
        <f t="shared" si="100"/>
        <v>63.752645147744303</v>
      </c>
      <c r="EG55" s="2">
        <f t="shared" si="101"/>
        <v>62.086991517915067</v>
      </c>
      <c r="EH55" s="2">
        <f t="shared" si="102"/>
        <v>60.464179091732959</v>
      </c>
    </row>
    <row r="56" spans="5:138">
      <c r="E56" s="18"/>
      <c r="F56" s="37">
        <v>4.3333333333333335E-2</v>
      </c>
      <c r="G56">
        <f t="shared" si="10"/>
        <v>300</v>
      </c>
      <c r="H56">
        <f t="shared" si="11"/>
        <v>289.38593600154059</v>
      </c>
      <c r="I56">
        <f t="shared" si="12"/>
        <v>278.81536485305901</v>
      </c>
      <c r="J56">
        <f t="shared" si="13"/>
        <v>268.33129219841896</v>
      </c>
      <c r="K56">
        <f t="shared" si="14"/>
        <v>257.97575507539818</v>
      </c>
      <c r="L56">
        <f t="shared" si="15"/>
        <v>247.78935204382532</v>
      </c>
      <c r="M56">
        <f t="shared" si="16"/>
        <v>237.81079039726501</v>
      </c>
      <c r="N56">
        <f t="shared" si="17"/>
        <v>228.07645576842287</v>
      </c>
      <c r="O56">
        <f t="shared" si="18"/>
        <v>218.62000911967763</v>
      </c>
      <c r="P56">
        <f t="shared" si="19"/>
        <v>209.47201572462319</v>
      </c>
      <c r="Q56">
        <f t="shared" si="20"/>
        <v>200.65961030220848</v>
      </c>
      <c r="R56">
        <f t="shared" si="21"/>
        <v>192.20620197099819</v>
      </c>
      <c r="S56">
        <f t="shared" si="22"/>
        <v>184.13122215695722</v>
      </c>
      <c r="T56">
        <f t="shared" si="23"/>
        <v>176.44991802414302</v>
      </c>
      <c r="U56">
        <f t="shared" si="24"/>
        <v>169.17319341403328</v>
      </c>
      <c r="V56">
        <f t="shared" si="25"/>
        <v>162.30749868603738</v>
      </c>
      <c r="W56">
        <f t="shared" si="26"/>
        <v>155.85477025869545</v>
      </c>
      <c r="X56">
        <f t="shared" si="27"/>
        <v>149.81242006714527</v>
      </c>
      <c r="Y56">
        <f t="shared" si="28"/>
        <v>144.17337458572587</v>
      </c>
      <c r="Z56">
        <f t="shared" si="29"/>
        <v>138.92616252213375</v>
      </c>
      <c r="AA56">
        <f t="shared" si="30"/>
        <v>134.05504977723518</v>
      </c>
      <c r="AB56">
        <f t="shared" si="31"/>
        <v>129.54021978713746</v>
      </c>
      <c r="AC56">
        <f t="shared" si="32"/>
        <v>125.35799692487294</v>
      </c>
      <c r="AD56">
        <f t="shared" si="33"/>
        <v>121.48111024031033</v>
      </c>
      <c r="AE56">
        <f t="shared" si="34"/>
        <v>117.87899445985141</v>
      </c>
      <c r="AF56">
        <f t="shared" si="35"/>
        <v>114.51812485229161</v>
      </c>
      <c r="AG56">
        <f t="shared" si="36"/>
        <v>111.36238229332248</v>
      </c>
      <c r="AH56">
        <f t="shared" si="37"/>
        <v>108.37344462730429</v>
      </c>
      <c r="AI56">
        <f t="shared" ref="AI56:AI69" si="120">CX56*AJ56+EF56</f>
        <v>105.51120022948577</v>
      </c>
      <c r="AJ56">
        <f t="shared" si="103"/>
        <v>102.73417951291933</v>
      </c>
      <c r="AK56">
        <f t="shared" si="39"/>
        <v>100</v>
      </c>
      <c r="AL56" s="16"/>
      <c r="AM56" s="37">
        <v>4.3333333333333335E-2</v>
      </c>
      <c r="AN56" s="6">
        <f t="shared" si="40"/>
        <v>-1076400000</v>
      </c>
      <c r="AO56" s="6">
        <f t="shared" si="104"/>
        <v>-1038136677.9746189</v>
      </c>
      <c r="AP56" s="6">
        <f t="shared" si="41"/>
        <v>-1000031425.3282717</v>
      </c>
      <c r="AQ56" s="6">
        <f t="shared" si="42"/>
        <v>-962240539.30702329</v>
      </c>
      <c r="AR56" s="6">
        <f t="shared" si="43"/>
        <v>-924916794.07193434</v>
      </c>
      <c r="AS56" s="6">
        <f t="shared" si="44"/>
        <v>-888207731.7992934</v>
      </c>
      <c r="AT56" s="6">
        <f t="shared" si="45"/>
        <v>-852254016.09203351</v>
      </c>
      <c r="AU56" s="6">
        <f t="shared" si="46"/>
        <v>-817187867.05949986</v>
      </c>
      <c r="AV56" s="6">
        <f t="shared" si="47"/>
        <v>-783131596.25112367</v>
      </c>
      <c r="AW56" s="6">
        <f t="shared" si="48"/>
        <v>-750196258.21321917</v>
      </c>
      <c r="AX56" s="6">
        <f t="shared" si="49"/>
        <v>-718480433.8067379</v>
      </c>
      <c r="AY56" s="6">
        <f t="shared" si="50"/>
        <v>-688069158.61086047</v>
      </c>
      <c r="AZ56" s="6">
        <f t="shared" si="51"/>
        <v>-659033007.77888405</v>
      </c>
      <c r="BA56" s="6">
        <f t="shared" si="52"/>
        <v>-631427346.64662886</v>
      </c>
      <c r="BB56" s="6">
        <f t="shared" si="53"/>
        <v>-605291754.25760007</v>
      </c>
      <c r="BC56" s="6">
        <f t="shared" si="54"/>
        <v>-580649624.80079472</v>
      </c>
      <c r="BD56" s="6">
        <f t="shared" si="55"/>
        <v>-557507949.79202151</v>
      </c>
      <c r="BE56" s="6">
        <f t="shared" si="56"/>
        <v>-535857281.70097578</v>
      </c>
      <c r="BF56" s="6">
        <f t="shared" si="57"/>
        <v>-515671877.66377944</v>
      </c>
      <c r="BG56" s="6">
        <f t="shared" si="58"/>
        <v>-496910019.95002478</v>
      </c>
      <c r="BH56" s="6">
        <f t="shared" si="59"/>
        <v>-479514507.99584407</v>
      </c>
      <c r="BI56" s="6">
        <f t="shared" si="60"/>
        <v>-463413315.08701992</v>
      </c>
      <c r="BJ56" s="6">
        <f t="shared" si="61"/>
        <v>-448520401.19075841</v>
      </c>
      <c r="BK56" s="6">
        <f t="shared" si="62"/>
        <v>-434736671.99924439</v>
      </c>
      <c r="BL56" s="6">
        <f t="shared" si="63"/>
        <v>-421951072.96614474</v>
      </c>
      <c r="BM56" s="6">
        <f t="shared" si="64"/>
        <v>-410041805.98885709</v>
      </c>
      <c r="BN56" s="6">
        <f t="shared" si="65"/>
        <v>-398877655.41162437</v>
      </c>
      <c r="BO56" s="6">
        <f t="shared" si="66"/>
        <v>-388319409.19242132</v>
      </c>
      <c r="BP56" s="6">
        <f t="shared" si="67"/>
        <v>-378221360.38301134</v>
      </c>
      <c r="BQ56" s="6">
        <f t="shared" si="68"/>
        <v>-368432873.50925553</v>
      </c>
      <c r="BR56" s="6">
        <f t="shared" si="69"/>
        <v>-358800000</v>
      </c>
      <c r="BT56" s="16"/>
      <c r="BU56" s="37">
        <v>4.3333333333333335E-2</v>
      </c>
      <c r="BV56" s="2">
        <v>0</v>
      </c>
      <c r="BW56" s="2">
        <f t="shared" ref="BW56:CY56" si="121">$B$20/($B$21-$B$22*BV56)</f>
        <v>0.34883720930232553</v>
      </c>
      <c r="BX56" s="2">
        <f t="shared" si="121"/>
        <v>0.39716748768472904</v>
      </c>
      <c r="BY56" s="2">
        <f t="shared" si="121"/>
        <v>0.40494040593779607</v>
      </c>
      <c r="BZ56" s="2">
        <f t="shared" si="121"/>
        <v>0.4062190081621499</v>
      </c>
      <c r="CA56" s="2">
        <f t="shared" si="121"/>
        <v>0.40643010492156101</v>
      </c>
      <c r="CB56" s="2">
        <f t="shared" si="121"/>
        <v>0.40646497802255066</v>
      </c>
      <c r="CC56" s="2">
        <f t="shared" si="121"/>
        <v>0.40647073962099717</v>
      </c>
      <c r="CD56" s="2">
        <f t="shared" si="121"/>
        <v>0.40647169154566137</v>
      </c>
      <c r="CE56" s="2">
        <f t="shared" si="121"/>
        <v>0.40647184882198806</v>
      </c>
      <c r="CF56" s="2">
        <f t="shared" si="121"/>
        <v>0.40647187480708435</v>
      </c>
      <c r="CG56" s="2">
        <f t="shared" si="121"/>
        <v>0.40647187910032606</v>
      </c>
      <c r="CH56" s="2">
        <f t="shared" si="121"/>
        <v>0.40647187980965277</v>
      </c>
      <c r="CI56" s="2">
        <f t="shared" si="121"/>
        <v>0.4064718799268473</v>
      </c>
      <c r="CJ56" s="2">
        <f t="shared" si="121"/>
        <v>0.40647187994621015</v>
      </c>
      <c r="CK56" s="2">
        <f t="shared" si="121"/>
        <v>0.40647187994940925</v>
      </c>
      <c r="CL56" s="2">
        <f t="shared" si="121"/>
        <v>0.40647187994993778</v>
      </c>
      <c r="CM56" s="2">
        <f t="shared" si="121"/>
        <v>0.40647187995002515</v>
      </c>
      <c r="CN56" s="2">
        <f t="shared" si="121"/>
        <v>0.40647187995003953</v>
      </c>
      <c r="CO56" s="2">
        <f t="shared" si="121"/>
        <v>0.40647187995004191</v>
      </c>
      <c r="CP56" s="2">
        <f t="shared" si="121"/>
        <v>0.40647187995004236</v>
      </c>
      <c r="CQ56" s="2">
        <f t="shared" si="121"/>
        <v>0.40647187995004236</v>
      </c>
      <c r="CR56" s="2">
        <f t="shared" si="121"/>
        <v>0.40647187995004236</v>
      </c>
      <c r="CS56" s="2">
        <f t="shared" si="121"/>
        <v>0.40647187995004236</v>
      </c>
      <c r="CT56" s="2">
        <f t="shared" si="121"/>
        <v>0.40647187995004236</v>
      </c>
      <c r="CU56" s="2">
        <f t="shared" si="121"/>
        <v>0.40647187995004236</v>
      </c>
      <c r="CV56" s="2">
        <f t="shared" si="121"/>
        <v>0.40647187995004236</v>
      </c>
      <c r="CW56" s="2">
        <f t="shared" si="121"/>
        <v>0.40647187995004236</v>
      </c>
      <c r="CX56" s="2">
        <f t="shared" si="121"/>
        <v>0.40647187995004236</v>
      </c>
      <c r="CY56" s="2">
        <f t="shared" si="121"/>
        <v>0.40647187995004236</v>
      </c>
      <c r="CZ56" s="2">
        <f t="shared" si="71"/>
        <v>100</v>
      </c>
      <c r="DB56" s="16"/>
      <c r="DC56" s="37">
        <v>4.3333333333333335E-2</v>
      </c>
      <c r="DD56" s="2">
        <f t="shared" si="72"/>
        <v>300</v>
      </c>
      <c r="DE56" s="2">
        <f t="shared" si="73"/>
        <v>192.12476221558975</v>
      </c>
      <c r="DF56" s="2">
        <f t="shared" si="74"/>
        <v>172.24289966341601</v>
      </c>
      <c r="DG56" s="2">
        <f t="shared" si="75"/>
        <v>163.86648521607776</v>
      </c>
      <c r="DH56" s="2">
        <f t="shared" si="76"/>
        <v>157.31901025501364</v>
      </c>
      <c r="DI56" s="2">
        <f t="shared" si="77"/>
        <v>151.13588755118553</v>
      </c>
      <c r="DJ56" s="2">
        <f t="shared" si="78"/>
        <v>145.10569881589177</v>
      </c>
      <c r="DK56" s="2">
        <f t="shared" si="79"/>
        <v>139.21381896559836</v>
      </c>
      <c r="DL56" s="2">
        <f t="shared" si="80"/>
        <v>133.47556455661066</v>
      </c>
      <c r="DM56" s="2">
        <f t="shared" si="81"/>
        <v>127.90953294118485</v>
      </c>
      <c r="DN56" s="2">
        <f t="shared" si="82"/>
        <v>122.53319503750774</v>
      </c>
      <c r="DO56" s="2">
        <f t="shared" si="83"/>
        <v>117.3620380998202</v>
      </c>
      <c r="DP56" s="2">
        <f t="shared" si="84"/>
        <v>112.4092922854247</v>
      </c>
      <c r="DQ56" s="2">
        <f t="shared" si="85"/>
        <v>107.68577206391278</v>
      </c>
      <c r="DR56" s="2">
        <f t="shared" si="86"/>
        <v>103.19975929375262</v>
      </c>
      <c r="DS56" s="2">
        <f t="shared" si="87"/>
        <v>98.956917219902166</v>
      </c>
      <c r="DT56" s="2">
        <f t="shared" si="88"/>
        <v>94.960234234153134</v>
      </c>
      <c r="DU56" s="2">
        <f t="shared" si="89"/>
        <v>91.209997460546091</v>
      </c>
      <c r="DV56" s="2">
        <f t="shared" si="90"/>
        <v>87.703796131109428</v>
      </c>
      <c r="DW56" s="2">
        <f t="shared" si="91"/>
        <v>84.436554422384518</v>
      </c>
      <c r="DX56" s="2">
        <f t="shared" si="92"/>
        <v>81.400593111215727</v>
      </c>
      <c r="DY56" s="2">
        <f t="shared" si="93"/>
        <v>78.585719110312724</v>
      </c>
      <c r="DZ56" s="2">
        <f t="shared" si="94"/>
        <v>75.979341667075659</v>
      </c>
      <c r="EA56" s="2">
        <f t="shared" si="95"/>
        <v>73.566613755593892</v>
      </c>
      <c r="EB56" s="2">
        <f t="shared" si="96"/>
        <v>71.330596962786771</v>
      </c>
      <c r="EC56" s="2">
        <f t="shared" si="97"/>
        <v>69.252447965809509</v>
      </c>
      <c r="ED56" s="2">
        <f t="shared" si="98"/>
        <v>67.31162451900029</v>
      </c>
      <c r="EE56" s="2">
        <f t="shared" si="99"/>
        <v>65.486108714239876</v>
      </c>
      <c r="EF56" s="2">
        <f t="shared" si="100"/>
        <v>63.752645147744317</v>
      </c>
      <c r="EG56" s="2">
        <f t="shared" si="101"/>
        <v>62.086991517915081</v>
      </c>
      <c r="EH56" s="2">
        <f t="shared" si="102"/>
        <v>60.464179091732959</v>
      </c>
    </row>
    <row r="57" spans="5:138">
      <c r="E57" s="18"/>
      <c r="F57" s="37">
        <v>0.04</v>
      </c>
      <c r="G57">
        <f t="shared" si="10"/>
        <v>300</v>
      </c>
      <c r="H57">
        <f t="shared" si="11"/>
        <v>289.38593600154059</v>
      </c>
      <c r="I57">
        <f t="shared" si="12"/>
        <v>278.81536485305901</v>
      </c>
      <c r="J57">
        <f t="shared" si="13"/>
        <v>268.33129219841896</v>
      </c>
      <c r="K57">
        <f t="shared" si="14"/>
        <v>257.97575507539818</v>
      </c>
      <c r="L57">
        <f t="shared" si="15"/>
        <v>247.78935204382532</v>
      </c>
      <c r="M57">
        <f t="shared" si="16"/>
        <v>237.81079039726501</v>
      </c>
      <c r="N57">
        <f t="shared" si="17"/>
        <v>228.07645576842287</v>
      </c>
      <c r="O57">
        <f t="shared" si="18"/>
        <v>218.62000911967763</v>
      </c>
      <c r="P57">
        <f t="shared" si="19"/>
        <v>209.47201572462319</v>
      </c>
      <c r="Q57">
        <f t="shared" si="20"/>
        <v>200.65961030220848</v>
      </c>
      <c r="R57">
        <f t="shared" si="21"/>
        <v>192.20620197099819</v>
      </c>
      <c r="S57">
        <f t="shared" si="22"/>
        <v>184.13122215695722</v>
      </c>
      <c r="T57">
        <f t="shared" si="23"/>
        <v>176.44991802414302</v>
      </c>
      <c r="U57">
        <f t="shared" si="24"/>
        <v>169.17319341403328</v>
      </c>
      <c r="V57">
        <f t="shared" si="25"/>
        <v>162.30749868603738</v>
      </c>
      <c r="W57">
        <f t="shared" si="26"/>
        <v>155.85477025869545</v>
      </c>
      <c r="X57">
        <f t="shared" si="27"/>
        <v>149.81242006714527</v>
      </c>
      <c r="Y57">
        <f t="shared" si="28"/>
        <v>144.17337458572587</v>
      </c>
      <c r="Z57">
        <f t="shared" si="29"/>
        <v>138.92616252213378</v>
      </c>
      <c r="AA57">
        <f t="shared" si="30"/>
        <v>134.05504977723518</v>
      </c>
      <c r="AB57">
        <f t="shared" si="31"/>
        <v>129.54021978713749</v>
      </c>
      <c r="AC57">
        <f t="shared" si="32"/>
        <v>125.35799692487296</v>
      </c>
      <c r="AD57">
        <f t="shared" si="33"/>
        <v>121.48111024031036</v>
      </c>
      <c r="AE57">
        <f t="shared" si="34"/>
        <v>117.87899445985144</v>
      </c>
      <c r="AF57">
        <f t="shared" si="35"/>
        <v>114.51812485229163</v>
      </c>
      <c r="AG57">
        <f t="shared" si="36"/>
        <v>111.3623822933225</v>
      </c>
      <c r="AH57">
        <f t="shared" si="37"/>
        <v>108.37344462730429</v>
      </c>
      <c r="AI57">
        <f t="shared" si="120"/>
        <v>105.51120022948577</v>
      </c>
      <c r="AJ57">
        <f t="shared" si="103"/>
        <v>102.73417951291933</v>
      </c>
      <c r="AK57">
        <f t="shared" si="39"/>
        <v>100</v>
      </c>
      <c r="AL57" s="16"/>
      <c r="AM57" s="37">
        <v>0.04</v>
      </c>
      <c r="AN57" s="6">
        <f t="shared" si="40"/>
        <v>-1076400000</v>
      </c>
      <c r="AO57" s="6">
        <f t="shared" si="104"/>
        <v>-1038136677.9746189</v>
      </c>
      <c r="AP57" s="6">
        <f t="shared" si="41"/>
        <v>-1000031425.3282719</v>
      </c>
      <c r="AQ57" s="6">
        <f t="shared" si="42"/>
        <v>-962240539.30702329</v>
      </c>
      <c r="AR57" s="6">
        <f t="shared" si="43"/>
        <v>-924916794.07193434</v>
      </c>
      <c r="AS57" s="6">
        <f t="shared" si="44"/>
        <v>-888207731.7992934</v>
      </c>
      <c r="AT57" s="6">
        <f t="shared" si="45"/>
        <v>-852254016.09203351</v>
      </c>
      <c r="AU57" s="6">
        <f t="shared" si="46"/>
        <v>-817187867.05949986</v>
      </c>
      <c r="AV57" s="6">
        <f t="shared" si="47"/>
        <v>-783131596.25112367</v>
      </c>
      <c r="AW57" s="6">
        <f t="shared" si="48"/>
        <v>-750196258.21321929</v>
      </c>
      <c r="AX57" s="6">
        <f t="shared" si="49"/>
        <v>-718480433.8067379</v>
      </c>
      <c r="AY57" s="6">
        <f t="shared" si="50"/>
        <v>-688069158.61086047</v>
      </c>
      <c r="AZ57" s="6">
        <f t="shared" si="51"/>
        <v>-659033007.77888405</v>
      </c>
      <c r="BA57" s="6">
        <f t="shared" si="52"/>
        <v>-631427346.64662886</v>
      </c>
      <c r="BB57" s="6">
        <f t="shared" si="53"/>
        <v>-605291754.25760019</v>
      </c>
      <c r="BC57" s="6">
        <f t="shared" si="54"/>
        <v>-580649624.80079472</v>
      </c>
      <c r="BD57" s="6">
        <f t="shared" si="55"/>
        <v>-557507949.79202163</v>
      </c>
      <c r="BE57" s="6">
        <f t="shared" si="56"/>
        <v>-535857281.70097578</v>
      </c>
      <c r="BF57" s="6">
        <f t="shared" si="57"/>
        <v>-515671877.66377956</v>
      </c>
      <c r="BG57" s="6">
        <f t="shared" si="58"/>
        <v>-496910019.9500249</v>
      </c>
      <c r="BH57" s="6">
        <f t="shared" si="59"/>
        <v>-479514507.99584419</v>
      </c>
      <c r="BI57" s="6">
        <f t="shared" si="60"/>
        <v>-463413315.08702004</v>
      </c>
      <c r="BJ57" s="6">
        <f t="shared" si="61"/>
        <v>-448520401.19075853</v>
      </c>
      <c r="BK57" s="6">
        <f t="shared" si="62"/>
        <v>-434736671.99924445</v>
      </c>
      <c r="BL57" s="6">
        <f t="shared" si="63"/>
        <v>-421951072.96614474</v>
      </c>
      <c r="BM57" s="6">
        <f t="shared" si="64"/>
        <v>-410041805.98885709</v>
      </c>
      <c r="BN57" s="6">
        <f t="shared" si="65"/>
        <v>-398877655.41162443</v>
      </c>
      <c r="BO57" s="6">
        <f t="shared" si="66"/>
        <v>-388319409.19242132</v>
      </c>
      <c r="BP57" s="6">
        <f t="shared" si="67"/>
        <v>-378221360.38301134</v>
      </c>
      <c r="BQ57" s="6">
        <f t="shared" si="68"/>
        <v>-368432873.50925553</v>
      </c>
      <c r="BR57" s="6">
        <f t="shared" si="69"/>
        <v>-358800000</v>
      </c>
      <c r="BT57" s="16"/>
      <c r="BU57" s="37">
        <v>0.04</v>
      </c>
      <c r="BV57" s="2">
        <v>0</v>
      </c>
      <c r="BW57" s="2">
        <f t="shared" ref="BW57:CY57" si="122">$B$20/($B$21-$B$22*BV57)</f>
        <v>0.34883720930232553</v>
      </c>
      <c r="BX57" s="2">
        <f t="shared" si="122"/>
        <v>0.39716748768472904</v>
      </c>
      <c r="BY57" s="2">
        <f t="shared" si="122"/>
        <v>0.40494040593779607</v>
      </c>
      <c r="BZ57" s="2">
        <f t="shared" si="122"/>
        <v>0.4062190081621499</v>
      </c>
      <c r="CA57" s="2">
        <f t="shared" si="122"/>
        <v>0.40643010492156101</v>
      </c>
      <c r="CB57" s="2">
        <f t="shared" si="122"/>
        <v>0.40646497802255066</v>
      </c>
      <c r="CC57" s="2">
        <f t="shared" si="122"/>
        <v>0.40647073962099717</v>
      </c>
      <c r="CD57" s="2">
        <f t="shared" si="122"/>
        <v>0.40647169154566137</v>
      </c>
      <c r="CE57" s="2">
        <f t="shared" si="122"/>
        <v>0.40647184882198806</v>
      </c>
      <c r="CF57" s="2">
        <f t="shared" si="122"/>
        <v>0.40647187480708435</v>
      </c>
      <c r="CG57" s="2">
        <f t="shared" si="122"/>
        <v>0.40647187910032606</v>
      </c>
      <c r="CH57" s="2">
        <f t="shared" si="122"/>
        <v>0.40647187980965277</v>
      </c>
      <c r="CI57" s="2">
        <f t="shared" si="122"/>
        <v>0.4064718799268473</v>
      </c>
      <c r="CJ57" s="2">
        <f t="shared" si="122"/>
        <v>0.40647187994621015</v>
      </c>
      <c r="CK57" s="2">
        <f t="shared" si="122"/>
        <v>0.40647187994940925</v>
      </c>
      <c r="CL57" s="2">
        <f t="shared" si="122"/>
        <v>0.40647187994993778</v>
      </c>
      <c r="CM57" s="2">
        <f t="shared" si="122"/>
        <v>0.40647187995002515</v>
      </c>
      <c r="CN57" s="2">
        <f t="shared" si="122"/>
        <v>0.40647187995003953</v>
      </c>
      <c r="CO57" s="2">
        <f t="shared" si="122"/>
        <v>0.40647187995004191</v>
      </c>
      <c r="CP57" s="2">
        <f t="shared" si="122"/>
        <v>0.40647187995004236</v>
      </c>
      <c r="CQ57" s="2">
        <f t="shared" si="122"/>
        <v>0.40647187995004236</v>
      </c>
      <c r="CR57" s="2">
        <f t="shared" si="122"/>
        <v>0.40647187995004236</v>
      </c>
      <c r="CS57" s="2">
        <f t="shared" si="122"/>
        <v>0.40647187995004236</v>
      </c>
      <c r="CT57" s="2">
        <f t="shared" si="122"/>
        <v>0.40647187995004236</v>
      </c>
      <c r="CU57" s="2">
        <f t="shared" si="122"/>
        <v>0.40647187995004236</v>
      </c>
      <c r="CV57" s="2">
        <f t="shared" si="122"/>
        <v>0.40647187995004236</v>
      </c>
      <c r="CW57" s="2">
        <f t="shared" si="122"/>
        <v>0.40647187995004236</v>
      </c>
      <c r="CX57" s="2">
        <f t="shared" si="122"/>
        <v>0.40647187995004236</v>
      </c>
      <c r="CY57" s="2">
        <f t="shared" si="122"/>
        <v>0.40647187995004236</v>
      </c>
      <c r="CZ57" s="2">
        <f t="shared" si="71"/>
        <v>100</v>
      </c>
      <c r="DB57" s="16"/>
      <c r="DC57" s="37">
        <v>0.04</v>
      </c>
      <c r="DD57" s="2">
        <f t="shared" si="72"/>
        <v>300</v>
      </c>
      <c r="DE57" s="2">
        <f t="shared" si="73"/>
        <v>192.12476221558975</v>
      </c>
      <c r="DF57" s="2">
        <f t="shared" si="74"/>
        <v>172.24289966341601</v>
      </c>
      <c r="DG57" s="2">
        <f t="shared" si="75"/>
        <v>163.86648521607776</v>
      </c>
      <c r="DH57" s="2">
        <f t="shared" si="76"/>
        <v>157.31901025501364</v>
      </c>
      <c r="DI57" s="2">
        <f t="shared" si="77"/>
        <v>151.13588755118553</v>
      </c>
      <c r="DJ57" s="2">
        <f t="shared" si="78"/>
        <v>145.10569881589177</v>
      </c>
      <c r="DK57" s="2">
        <f t="shared" si="79"/>
        <v>139.21381896559836</v>
      </c>
      <c r="DL57" s="2">
        <f t="shared" si="80"/>
        <v>133.47556455661066</v>
      </c>
      <c r="DM57" s="2">
        <f t="shared" si="81"/>
        <v>127.90953294118485</v>
      </c>
      <c r="DN57" s="2">
        <f t="shared" si="82"/>
        <v>122.53319503750774</v>
      </c>
      <c r="DO57" s="2">
        <f t="shared" si="83"/>
        <v>117.3620380998202</v>
      </c>
      <c r="DP57" s="2">
        <f t="shared" si="84"/>
        <v>112.4092922854247</v>
      </c>
      <c r="DQ57" s="2">
        <f t="shared" si="85"/>
        <v>107.68577206391278</v>
      </c>
      <c r="DR57" s="2">
        <f t="shared" si="86"/>
        <v>103.19975929375265</v>
      </c>
      <c r="DS57" s="2">
        <f t="shared" si="87"/>
        <v>98.956917219902166</v>
      </c>
      <c r="DT57" s="2">
        <f t="shared" si="88"/>
        <v>94.960234234153134</v>
      </c>
      <c r="DU57" s="2">
        <f t="shared" si="89"/>
        <v>91.209997460546091</v>
      </c>
      <c r="DV57" s="2">
        <f t="shared" si="90"/>
        <v>87.703796131109428</v>
      </c>
      <c r="DW57" s="2">
        <f t="shared" si="91"/>
        <v>84.436554422384546</v>
      </c>
      <c r="DX57" s="2">
        <f t="shared" si="92"/>
        <v>81.400593111215741</v>
      </c>
      <c r="DY57" s="2">
        <f t="shared" si="93"/>
        <v>78.585719110312738</v>
      </c>
      <c r="DZ57" s="2">
        <f t="shared" si="94"/>
        <v>75.979341667075673</v>
      </c>
      <c r="EA57" s="2">
        <f t="shared" si="95"/>
        <v>73.56661375559392</v>
      </c>
      <c r="EB57" s="2">
        <f t="shared" si="96"/>
        <v>71.3305969627868</v>
      </c>
      <c r="EC57" s="2">
        <f t="shared" si="97"/>
        <v>69.252447965809537</v>
      </c>
      <c r="ED57" s="2">
        <f t="shared" si="98"/>
        <v>67.311624519000304</v>
      </c>
      <c r="EE57" s="2">
        <f t="shared" si="99"/>
        <v>65.486108714239876</v>
      </c>
      <c r="EF57" s="2">
        <f t="shared" si="100"/>
        <v>63.752645147744317</v>
      </c>
      <c r="EG57" s="2">
        <f t="shared" si="101"/>
        <v>62.086991517915081</v>
      </c>
      <c r="EH57" s="2">
        <f t="shared" si="102"/>
        <v>60.464179091732959</v>
      </c>
    </row>
    <row r="58" spans="5:138">
      <c r="E58" s="18"/>
      <c r="F58" s="37">
        <v>3.6666666666666667E-2</v>
      </c>
      <c r="G58">
        <f t="shared" si="10"/>
        <v>300</v>
      </c>
      <c r="H58">
        <f t="shared" si="11"/>
        <v>289.38593600154059</v>
      </c>
      <c r="I58">
        <f t="shared" si="12"/>
        <v>278.81536485305901</v>
      </c>
      <c r="J58">
        <f t="shared" si="13"/>
        <v>268.33129219841896</v>
      </c>
      <c r="K58">
        <f t="shared" si="14"/>
        <v>257.97575507539818</v>
      </c>
      <c r="L58">
        <f t="shared" si="15"/>
        <v>247.78935204382532</v>
      </c>
      <c r="M58">
        <f t="shared" si="16"/>
        <v>237.81079039726501</v>
      </c>
      <c r="N58">
        <f t="shared" si="17"/>
        <v>228.07645576842287</v>
      </c>
      <c r="O58">
        <f t="shared" si="18"/>
        <v>218.62000911967763</v>
      </c>
      <c r="P58">
        <f t="shared" si="19"/>
        <v>209.47201572462319</v>
      </c>
      <c r="Q58">
        <f t="shared" si="20"/>
        <v>200.65961030220848</v>
      </c>
      <c r="R58">
        <f t="shared" si="21"/>
        <v>192.20620197099822</v>
      </c>
      <c r="S58">
        <f t="shared" si="22"/>
        <v>184.13122215695725</v>
      </c>
      <c r="T58">
        <f t="shared" si="23"/>
        <v>176.44991802414305</v>
      </c>
      <c r="U58">
        <f t="shared" si="24"/>
        <v>169.17319341403331</v>
      </c>
      <c r="V58">
        <f t="shared" si="25"/>
        <v>162.30749868603741</v>
      </c>
      <c r="W58">
        <f t="shared" si="26"/>
        <v>155.85477025869551</v>
      </c>
      <c r="X58">
        <f t="shared" si="27"/>
        <v>149.8124200671453</v>
      </c>
      <c r="Y58">
        <f t="shared" si="28"/>
        <v>144.17337458572592</v>
      </c>
      <c r="Z58">
        <f t="shared" si="29"/>
        <v>138.92616252213381</v>
      </c>
      <c r="AA58">
        <f t="shared" si="30"/>
        <v>134.05504977723524</v>
      </c>
      <c r="AB58">
        <f t="shared" si="31"/>
        <v>129.54021978713752</v>
      </c>
      <c r="AC58">
        <f t="shared" si="32"/>
        <v>125.35799692487301</v>
      </c>
      <c r="AD58">
        <f t="shared" si="33"/>
        <v>121.48111024031039</v>
      </c>
      <c r="AE58">
        <f t="shared" si="34"/>
        <v>117.87899445985144</v>
      </c>
      <c r="AF58">
        <f t="shared" si="35"/>
        <v>114.51812485229163</v>
      </c>
      <c r="AG58">
        <f t="shared" si="36"/>
        <v>111.3623822933225</v>
      </c>
      <c r="AH58">
        <f t="shared" si="37"/>
        <v>108.37344462730431</v>
      </c>
      <c r="AI58">
        <f t="shared" si="120"/>
        <v>105.51120022948578</v>
      </c>
      <c r="AJ58">
        <f t="shared" si="103"/>
        <v>102.73417951291933</v>
      </c>
      <c r="AK58">
        <f t="shared" si="39"/>
        <v>100</v>
      </c>
      <c r="AL58" s="16"/>
      <c r="AM58" s="37">
        <v>3.6666666666666667E-2</v>
      </c>
      <c r="AN58" s="6">
        <f t="shared" si="40"/>
        <v>-1076400000</v>
      </c>
      <c r="AO58" s="6">
        <f t="shared" si="104"/>
        <v>-1038136677.9746189</v>
      </c>
      <c r="AP58" s="6">
        <f t="shared" si="41"/>
        <v>-1000031425.3282719</v>
      </c>
      <c r="AQ58" s="6">
        <f t="shared" si="42"/>
        <v>-962240539.30702329</v>
      </c>
      <c r="AR58" s="6">
        <f t="shared" si="43"/>
        <v>-924916794.07193434</v>
      </c>
      <c r="AS58" s="6">
        <f t="shared" si="44"/>
        <v>-888207731.7992934</v>
      </c>
      <c r="AT58" s="6">
        <f t="shared" si="45"/>
        <v>-852254016.09203362</v>
      </c>
      <c r="AU58" s="6">
        <f t="shared" si="46"/>
        <v>-817187867.05949986</v>
      </c>
      <c r="AV58" s="6">
        <f t="shared" si="47"/>
        <v>-783131596.25112367</v>
      </c>
      <c r="AW58" s="6">
        <f t="shared" si="48"/>
        <v>-750196258.2132194</v>
      </c>
      <c r="AX58" s="6">
        <f t="shared" si="49"/>
        <v>-718480433.8067379</v>
      </c>
      <c r="AY58" s="6">
        <f t="shared" si="50"/>
        <v>-688069158.61086047</v>
      </c>
      <c r="AZ58" s="6">
        <f t="shared" si="51"/>
        <v>-659033007.77888405</v>
      </c>
      <c r="BA58" s="6">
        <f t="shared" si="52"/>
        <v>-631427346.64662886</v>
      </c>
      <c r="BB58" s="6">
        <f t="shared" si="53"/>
        <v>-605291754.25760019</v>
      </c>
      <c r="BC58" s="6">
        <f t="shared" si="54"/>
        <v>-580649624.80079472</v>
      </c>
      <c r="BD58" s="6">
        <f t="shared" si="55"/>
        <v>-557507949.79202187</v>
      </c>
      <c r="BE58" s="6">
        <f t="shared" si="56"/>
        <v>-535857281.70097578</v>
      </c>
      <c r="BF58" s="6">
        <f t="shared" si="57"/>
        <v>-515671877.66377962</v>
      </c>
      <c r="BG58" s="6">
        <f t="shared" si="58"/>
        <v>-496910019.95002496</v>
      </c>
      <c r="BH58" s="6">
        <f t="shared" si="59"/>
        <v>-479514507.9958443</v>
      </c>
      <c r="BI58" s="6">
        <f t="shared" si="60"/>
        <v>-463413315.08702016</v>
      </c>
      <c r="BJ58" s="6">
        <f t="shared" si="61"/>
        <v>-448520401.19075853</v>
      </c>
      <c r="BK58" s="6">
        <f t="shared" si="62"/>
        <v>-434736671.99924451</v>
      </c>
      <c r="BL58" s="6">
        <f t="shared" si="63"/>
        <v>-421951072.96614486</v>
      </c>
      <c r="BM58" s="6">
        <f t="shared" si="64"/>
        <v>-410041805.98885709</v>
      </c>
      <c r="BN58" s="6">
        <f t="shared" si="65"/>
        <v>-398877655.41162449</v>
      </c>
      <c r="BO58" s="6">
        <f t="shared" si="66"/>
        <v>-388319409.19242138</v>
      </c>
      <c r="BP58" s="6">
        <f t="shared" si="67"/>
        <v>-378221360.3830114</v>
      </c>
      <c r="BQ58" s="6">
        <f t="shared" si="68"/>
        <v>-368432873.50925553</v>
      </c>
      <c r="BR58" s="6">
        <f t="shared" si="69"/>
        <v>-358800000</v>
      </c>
      <c r="BT58" s="16"/>
      <c r="BU58" s="37">
        <v>3.6666666666666667E-2</v>
      </c>
      <c r="BV58" s="2">
        <v>0</v>
      </c>
      <c r="BW58" s="2">
        <f t="shared" ref="BW58:CY58" si="123">$B$20/($B$21-$B$22*BV58)</f>
        <v>0.34883720930232553</v>
      </c>
      <c r="BX58" s="2">
        <f t="shared" si="123"/>
        <v>0.39716748768472904</v>
      </c>
      <c r="BY58" s="2">
        <f t="shared" si="123"/>
        <v>0.40494040593779607</v>
      </c>
      <c r="BZ58" s="2">
        <f t="shared" si="123"/>
        <v>0.4062190081621499</v>
      </c>
      <c r="CA58" s="2">
        <f t="shared" si="123"/>
        <v>0.40643010492156101</v>
      </c>
      <c r="CB58" s="2">
        <f t="shared" si="123"/>
        <v>0.40646497802255066</v>
      </c>
      <c r="CC58" s="2">
        <f t="shared" si="123"/>
        <v>0.40647073962099717</v>
      </c>
      <c r="CD58" s="2">
        <f t="shared" si="123"/>
        <v>0.40647169154566137</v>
      </c>
      <c r="CE58" s="2">
        <f t="shared" si="123"/>
        <v>0.40647184882198806</v>
      </c>
      <c r="CF58" s="2">
        <f t="shared" si="123"/>
        <v>0.40647187480708435</v>
      </c>
      <c r="CG58" s="2">
        <f t="shared" si="123"/>
        <v>0.40647187910032606</v>
      </c>
      <c r="CH58" s="2">
        <f t="shared" si="123"/>
        <v>0.40647187980965277</v>
      </c>
      <c r="CI58" s="2">
        <f t="shared" si="123"/>
        <v>0.4064718799268473</v>
      </c>
      <c r="CJ58" s="2">
        <f t="shared" si="123"/>
        <v>0.40647187994621015</v>
      </c>
      <c r="CK58" s="2">
        <f t="shared" si="123"/>
        <v>0.40647187994940925</v>
      </c>
      <c r="CL58" s="2">
        <f t="shared" si="123"/>
        <v>0.40647187994993778</v>
      </c>
      <c r="CM58" s="2">
        <f t="shared" si="123"/>
        <v>0.40647187995002515</v>
      </c>
      <c r="CN58" s="2">
        <f t="shared" si="123"/>
        <v>0.40647187995003953</v>
      </c>
      <c r="CO58" s="2">
        <f t="shared" si="123"/>
        <v>0.40647187995004191</v>
      </c>
      <c r="CP58" s="2">
        <f t="shared" si="123"/>
        <v>0.40647187995004236</v>
      </c>
      <c r="CQ58" s="2">
        <f t="shared" si="123"/>
        <v>0.40647187995004236</v>
      </c>
      <c r="CR58" s="2">
        <f t="shared" si="123"/>
        <v>0.40647187995004236</v>
      </c>
      <c r="CS58" s="2">
        <f t="shared" si="123"/>
        <v>0.40647187995004236</v>
      </c>
      <c r="CT58" s="2">
        <f t="shared" si="123"/>
        <v>0.40647187995004236</v>
      </c>
      <c r="CU58" s="2">
        <f t="shared" si="123"/>
        <v>0.40647187995004236</v>
      </c>
      <c r="CV58" s="2">
        <f t="shared" si="123"/>
        <v>0.40647187995004236</v>
      </c>
      <c r="CW58" s="2">
        <f t="shared" si="123"/>
        <v>0.40647187995004236</v>
      </c>
      <c r="CX58" s="2">
        <f t="shared" si="123"/>
        <v>0.40647187995004236</v>
      </c>
      <c r="CY58" s="2">
        <f t="shared" si="123"/>
        <v>0.40647187995004236</v>
      </c>
      <c r="CZ58" s="2">
        <f t="shared" si="71"/>
        <v>100</v>
      </c>
      <c r="DB58" s="16"/>
      <c r="DC58" s="37">
        <v>3.6666666666666667E-2</v>
      </c>
      <c r="DD58" s="2">
        <f t="shared" si="72"/>
        <v>300</v>
      </c>
      <c r="DE58" s="2">
        <f t="shared" si="73"/>
        <v>192.12476221558975</v>
      </c>
      <c r="DF58" s="2">
        <f t="shared" si="74"/>
        <v>172.24289966341601</v>
      </c>
      <c r="DG58" s="2">
        <f t="shared" si="75"/>
        <v>163.86648521607776</v>
      </c>
      <c r="DH58" s="2">
        <f t="shared" si="76"/>
        <v>157.31901025501364</v>
      </c>
      <c r="DI58" s="2">
        <f t="shared" si="77"/>
        <v>151.13588755118553</v>
      </c>
      <c r="DJ58" s="2">
        <f t="shared" si="78"/>
        <v>145.10569881589177</v>
      </c>
      <c r="DK58" s="2">
        <f t="shared" si="79"/>
        <v>139.21381896559836</v>
      </c>
      <c r="DL58" s="2">
        <f t="shared" si="80"/>
        <v>133.47556455661066</v>
      </c>
      <c r="DM58" s="2">
        <f t="shared" si="81"/>
        <v>127.90953294118486</v>
      </c>
      <c r="DN58" s="2">
        <f t="shared" si="82"/>
        <v>122.53319503750774</v>
      </c>
      <c r="DO58" s="2">
        <f t="shared" si="83"/>
        <v>117.3620380998202</v>
      </c>
      <c r="DP58" s="2">
        <f t="shared" si="84"/>
        <v>112.4092922854247</v>
      </c>
      <c r="DQ58" s="2">
        <f t="shared" si="85"/>
        <v>107.68577206391278</v>
      </c>
      <c r="DR58" s="2">
        <f t="shared" si="86"/>
        <v>103.19975929375265</v>
      </c>
      <c r="DS58" s="2">
        <f t="shared" si="87"/>
        <v>98.956917219902166</v>
      </c>
      <c r="DT58" s="2">
        <f t="shared" si="88"/>
        <v>94.960234234153162</v>
      </c>
      <c r="DU58" s="2">
        <f t="shared" si="89"/>
        <v>91.20999746054612</v>
      </c>
      <c r="DV58" s="2">
        <f t="shared" si="90"/>
        <v>87.703796131109456</v>
      </c>
      <c r="DW58" s="2">
        <f t="shared" si="91"/>
        <v>84.43655442238456</v>
      </c>
      <c r="DX58" s="2">
        <f t="shared" si="92"/>
        <v>81.40059311121577</v>
      </c>
      <c r="DY58" s="2">
        <f t="shared" si="93"/>
        <v>78.585719110312766</v>
      </c>
      <c r="DZ58" s="2">
        <f t="shared" si="94"/>
        <v>75.979341667075701</v>
      </c>
      <c r="EA58" s="2">
        <f t="shared" si="95"/>
        <v>73.566613755593934</v>
      </c>
      <c r="EB58" s="2">
        <f t="shared" si="96"/>
        <v>71.3305969627868</v>
      </c>
      <c r="EC58" s="2">
        <f t="shared" si="97"/>
        <v>69.252447965809537</v>
      </c>
      <c r="ED58" s="2">
        <f t="shared" si="98"/>
        <v>67.311624519000304</v>
      </c>
      <c r="EE58" s="2">
        <f t="shared" si="99"/>
        <v>65.48610871423989</v>
      </c>
      <c r="EF58" s="2">
        <f t="shared" si="100"/>
        <v>63.752645147744332</v>
      </c>
      <c r="EG58" s="2">
        <f t="shared" si="101"/>
        <v>62.086991517915088</v>
      </c>
      <c r="EH58" s="2">
        <f t="shared" si="102"/>
        <v>60.464179091732959</v>
      </c>
    </row>
    <row r="59" spans="5:138">
      <c r="E59" s="18"/>
      <c r="F59" s="37">
        <v>3.3333333333333333E-2</v>
      </c>
      <c r="G59">
        <f t="shared" si="10"/>
        <v>300</v>
      </c>
      <c r="H59">
        <f t="shared" si="11"/>
        <v>289.38593600154059</v>
      </c>
      <c r="I59">
        <f t="shared" si="12"/>
        <v>278.81536485305901</v>
      </c>
      <c r="J59">
        <f t="shared" si="13"/>
        <v>268.33129219841896</v>
      </c>
      <c r="K59">
        <f t="shared" si="14"/>
        <v>257.97575507539818</v>
      </c>
      <c r="L59">
        <f t="shared" si="15"/>
        <v>247.78935204382532</v>
      </c>
      <c r="M59">
        <f t="shared" si="16"/>
        <v>237.81079039726501</v>
      </c>
      <c r="N59">
        <f t="shared" si="17"/>
        <v>228.07645576842287</v>
      </c>
      <c r="O59">
        <f t="shared" si="18"/>
        <v>218.62000911967763</v>
      </c>
      <c r="P59">
        <f t="shared" si="19"/>
        <v>209.47201572462319</v>
      </c>
      <c r="Q59">
        <f t="shared" si="20"/>
        <v>200.65961030220848</v>
      </c>
      <c r="R59">
        <f t="shared" si="21"/>
        <v>192.20620197099822</v>
      </c>
      <c r="S59">
        <f t="shared" si="22"/>
        <v>184.13122215695725</v>
      </c>
      <c r="T59">
        <f t="shared" si="23"/>
        <v>176.44991802414305</v>
      </c>
      <c r="U59">
        <f t="shared" si="24"/>
        <v>169.17319341403331</v>
      </c>
      <c r="V59">
        <f t="shared" si="25"/>
        <v>162.30749868603741</v>
      </c>
      <c r="W59">
        <f t="shared" si="26"/>
        <v>155.85477025869551</v>
      </c>
      <c r="X59">
        <f t="shared" si="27"/>
        <v>149.8124200671453</v>
      </c>
      <c r="Y59">
        <f t="shared" si="28"/>
        <v>144.17337458572592</v>
      </c>
      <c r="Z59">
        <f t="shared" si="29"/>
        <v>138.92616252213381</v>
      </c>
      <c r="AA59">
        <f t="shared" si="30"/>
        <v>134.05504977723524</v>
      </c>
      <c r="AB59">
        <f t="shared" si="31"/>
        <v>129.54021978713752</v>
      </c>
      <c r="AC59">
        <f t="shared" si="32"/>
        <v>125.35799692487301</v>
      </c>
      <c r="AD59">
        <f t="shared" si="33"/>
        <v>121.48111024031039</v>
      </c>
      <c r="AE59">
        <f t="shared" si="34"/>
        <v>117.87899445985144</v>
      </c>
      <c r="AF59">
        <f t="shared" si="35"/>
        <v>114.51812485229163</v>
      </c>
      <c r="AG59">
        <f t="shared" si="36"/>
        <v>111.3623822933225</v>
      </c>
      <c r="AH59">
        <f t="shared" si="37"/>
        <v>108.37344462730431</v>
      </c>
      <c r="AI59">
        <f t="shared" si="120"/>
        <v>105.51120022948578</v>
      </c>
      <c r="AJ59">
        <f t="shared" si="103"/>
        <v>102.73417951291933</v>
      </c>
      <c r="AK59">
        <f t="shared" si="39"/>
        <v>100</v>
      </c>
      <c r="AL59" s="16"/>
      <c r="AM59" s="37">
        <v>3.3333333333333333E-2</v>
      </c>
      <c r="AN59" s="6">
        <f t="shared" si="40"/>
        <v>-1076400000</v>
      </c>
      <c r="AO59" s="6">
        <f t="shared" si="104"/>
        <v>-1038136677.9746189</v>
      </c>
      <c r="AP59" s="6">
        <f t="shared" si="41"/>
        <v>-1000031425.3282719</v>
      </c>
      <c r="AQ59" s="6">
        <f t="shared" si="42"/>
        <v>-962240539.30702329</v>
      </c>
      <c r="AR59" s="6">
        <f t="shared" si="43"/>
        <v>-924916794.07193434</v>
      </c>
      <c r="AS59" s="6">
        <f t="shared" si="44"/>
        <v>-888207731.7992934</v>
      </c>
      <c r="AT59" s="6">
        <f t="shared" si="45"/>
        <v>-852254016.09203362</v>
      </c>
      <c r="AU59" s="6">
        <f t="shared" si="46"/>
        <v>-817187867.05949986</v>
      </c>
      <c r="AV59" s="6">
        <f t="shared" si="47"/>
        <v>-783131596.25112367</v>
      </c>
      <c r="AW59" s="6">
        <f t="shared" si="48"/>
        <v>-750196258.2132194</v>
      </c>
      <c r="AX59" s="6">
        <f t="shared" si="49"/>
        <v>-718480433.8067379</v>
      </c>
      <c r="AY59" s="6">
        <f t="shared" si="50"/>
        <v>-688069158.61086047</v>
      </c>
      <c r="AZ59" s="6">
        <f t="shared" si="51"/>
        <v>-659033007.77888405</v>
      </c>
      <c r="BA59" s="6">
        <f t="shared" si="52"/>
        <v>-631427346.64662886</v>
      </c>
      <c r="BB59" s="6">
        <f t="shared" si="53"/>
        <v>-605291754.25760019</v>
      </c>
      <c r="BC59" s="6">
        <f t="shared" si="54"/>
        <v>-580649624.80079472</v>
      </c>
      <c r="BD59" s="6">
        <f t="shared" si="55"/>
        <v>-557507949.79202187</v>
      </c>
      <c r="BE59" s="6">
        <f t="shared" si="56"/>
        <v>-535857281.70097578</v>
      </c>
      <c r="BF59" s="6">
        <f t="shared" si="57"/>
        <v>-515671877.66377962</v>
      </c>
      <c r="BG59" s="6">
        <f t="shared" si="58"/>
        <v>-496910019.95002496</v>
      </c>
      <c r="BH59" s="6">
        <f t="shared" si="59"/>
        <v>-479514507.9958443</v>
      </c>
      <c r="BI59" s="6">
        <f t="shared" si="60"/>
        <v>-463413315.08702016</v>
      </c>
      <c r="BJ59" s="6">
        <f t="shared" si="61"/>
        <v>-448520401.19075853</v>
      </c>
      <c r="BK59" s="6">
        <f t="shared" si="62"/>
        <v>-434736671.99924451</v>
      </c>
      <c r="BL59" s="6">
        <f t="shared" si="63"/>
        <v>-421951072.96614486</v>
      </c>
      <c r="BM59" s="6">
        <f t="shared" si="64"/>
        <v>-410041805.98885709</v>
      </c>
      <c r="BN59" s="6">
        <f t="shared" si="65"/>
        <v>-398877655.41162449</v>
      </c>
      <c r="BO59" s="6">
        <f t="shared" si="66"/>
        <v>-388319409.19242144</v>
      </c>
      <c r="BP59" s="6">
        <f t="shared" si="67"/>
        <v>-378221360.38301134</v>
      </c>
      <c r="BQ59" s="6">
        <f t="shared" si="68"/>
        <v>-368432873.50925553</v>
      </c>
      <c r="BR59" s="6">
        <f t="shared" si="69"/>
        <v>-358800000</v>
      </c>
      <c r="BT59" s="16"/>
      <c r="BU59" s="37">
        <v>3.3333333333333333E-2</v>
      </c>
      <c r="BV59" s="2">
        <v>0</v>
      </c>
      <c r="BW59" s="2">
        <f t="shared" ref="BW59:CY59" si="124">$B$20/($B$21-$B$22*BV59)</f>
        <v>0.34883720930232553</v>
      </c>
      <c r="BX59" s="2">
        <f t="shared" si="124"/>
        <v>0.39716748768472904</v>
      </c>
      <c r="BY59" s="2">
        <f t="shared" si="124"/>
        <v>0.40494040593779607</v>
      </c>
      <c r="BZ59" s="2">
        <f t="shared" si="124"/>
        <v>0.4062190081621499</v>
      </c>
      <c r="CA59" s="2">
        <f t="shared" si="124"/>
        <v>0.40643010492156101</v>
      </c>
      <c r="CB59" s="2">
        <f t="shared" si="124"/>
        <v>0.40646497802255066</v>
      </c>
      <c r="CC59" s="2">
        <f t="shared" si="124"/>
        <v>0.40647073962099717</v>
      </c>
      <c r="CD59" s="2">
        <f t="shared" si="124"/>
        <v>0.40647169154566137</v>
      </c>
      <c r="CE59" s="2">
        <f t="shared" si="124"/>
        <v>0.40647184882198806</v>
      </c>
      <c r="CF59" s="2">
        <f t="shared" si="124"/>
        <v>0.40647187480708435</v>
      </c>
      <c r="CG59" s="2">
        <f t="shared" si="124"/>
        <v>0.40647187910032606</v>
      </c>
      <c r="CH59" s="2">
        <f t="shared" si="124"/>
        <v>0.40647187980965277</v>
      </c>
      <c r="CI59" s="2">
        <f t="shared" si="124"/>
        <v>0.4064718799268473</v>
      </c>
      <c r="CJ59" s="2">
        <f t="shared" si="124"/>
        <v>0.40647187994621015</v>
      </c>
      <c r="CK59" s="2">
        <f t="shared" si="124"/>
        <v>0.40647187994940925</v>
      </c>
      <c r="CL59" s="2">
        <f t="shared" si="124"/>
        <v>0.40647187994993778</v>
      </c>
      <c r="CM59" s="2">
        <f t="shared" si="124"/>
        <v>0.40647187995002515</v>
      </c>
      <c r="CN59" s="2">
        <f t="shared" si="124"/>
        <v>0.40647187995003953</v>
      </c>
      <c r="CO59" s="2">
        <f t="shared" si="124"/>
        <v>0.40647187995004191</v>
      </c>
      <c r="CP59" s="2">
        <f t="shared" si="124"/>
        <v>0.40647187995004236</v>
      </c>
      <c r="CQ59" s="2">
        <f t="shared" si="124"/>
        <v>0.40647187995004236</v>
      </c>
      <c r="CR59" s="2">
        <f t="shared" si="124"/>
        <v>0.40647187995004236</v>
      </c>
      <c r="CS59" s="2">
        <f t="shared" si="124"/>
        <v>0.40647187995004236</v>
      </c>
      <c r="CT59" s="2">
        <f t="shared" si="124"/>
        <v>0.40647187995004236</v>
      </c>
      <c r="CU59" s="2">
        <f t="shared" si="124"/>
        <v>0.40647187995004236</v>
      </c>
      <c r="CV59" s="2">
        <f t="shared" si="124"/>
        <v>0.40647187995004236</v>
      </c>
      <c r="CW59" s="2">
        <f t="shared" si="124"/>
        <v>0.40647187995004236</v>
      </c>
      <c r="CX59" s="2">
        <f t="shared" si="124"/>
        <v>0.40647187995004236</v>
      </c>
      <c r="CY59" s="2">
        <f t="shared" si="124"/>
        <v>0.40647187995004236</v>
      </c>
      <c r="CZ59" s="2">
        <f t="shared" si="71"/>
        <v>100</v>
      </c>
      <c r="DB59" s="16"/>
      <c r="DC59" s="37">
        <v>3.3333333333333333E-2</v>
      </c>
      <c r="DD59" s="2">
        <f t="shared" si="72"/>
        <v>300</v>
      </c>
      <c r="DE59" s="2">
        <f t="shared" si="73"/>
        <v>192.12476221558975</v>
      </c>
      <c r="DF59" s="2">
        <f t="shared" si="74"/>
        <v>172.24289966341601</v>
      </c>
      <c r="DG59" s="2">
        <f t="shared" si="75"/>
        <v>163.86648521607776</v>
      </c>
      <c r="DH59" s="2">
        <f t="shared" si="76"/>
        <v>157.31901025501364</v>
      </c>
      <c r="DI59" s="2">
        <f t="shared" si="77"/>
        <v>151.13588755118553</v>
      </c>
      <c r="DJ59" s="2">
        <f t="shared" si="78"/>
        <v>145.10569881589177</v>
      </c>
      <c r="DK59" s="2">
        <f t="shared" si="79"/>
        <v>139.21381896559836</v>
      </c>
      <c r="DL59" s="2">
        <f t="shared" si="80"/>
        <v>133.47556455661066</v>
      </c>
      <c r="DM59" s="2">
        <f t="shared" si="81"/>
        <v>127.90953294118486</v>
      </c>
      <c r="DN59" s="2">
        <f t="shared" si="82"/>
        <v>122.53319503750774</v>
      </c>
      <c r="DO59" s="2">
        <f t="shared" si="83"/>
        <v>117.3620380998202</v>
      </c>
      <c r="DP59" s="2">
        <f t="shared" si="84"/>
        <v>112.4092922854247</v>
      </c>
      <c r="DQ59" s="2">
        <f t="shared" si="85"/>
        <v>107.68577206391278</v>
      </c>
      <c r="DR59" s="2">
        <f t="shared" si="86"/>
        <v>103.19975929375265</v>
      </c>
      <c r="DS59" s="2">
        <f t="shared" si="87"/>
        <v>98.956917219902166</v>
      </c>
      <c r="DT59" s="2">
        <f t="shared" si="88"/>
        <v>94.960234234153162</v>
      </c>
      <c r="DU59" s="2">
        <f t="shared" si="89"/>
        <v>91.20999746054612</v>
      </c>
      <c r="DV59" s="2">
        <f t="shared" si="90"/>
        <v>87.703796131109456</v>
      </c>
      <c r="DW59" s="2">
        <f t="shared" si="91"/>
        <v>84.43655442238456</v>
      </c>
      <c r="DX59" s="2">
        <f t="shared" si="92"/>
        <v>81.40059311121577</v>
      </c>
      <c r="DY59" s="2">
        <f t="shared" si="93"/>
        <v>78.585719110312766</v>
      </c>
      <c r="DZ59" s="2">
        <f t="shared" si="94"/>
        <v>75.979341667075701</v>
      </c>
      <c r="EA59" s="2">
        <f t="shared" si="95"/>
        <v>73.566613755593934</v>
      </c>
      <c r="EB59" s="2">
        <f t="shared" si="96"/>
        <v>71.3305969627868</v>
      </c>
      <c r="EC59" s="2">
        <f t="shared" si="97"/>
        <v>69.252447965809537</v>
      </c>
      <c r="ED59" s="2">
        <f t="shared" si="98"/>
        <v>67.311624519000304</v>
      </c>
      <c r="EE59" s="2">
        <f t="shared" si="99"/>
        <v>65.48610871423989</v>
      </c>
      <c r="EF59" s="2">
        <f t="shared" si="100"/>
        <v>63.752645147744332</v>
      </c>
      <c r="EG59" s="2">
        <f t="shared" si="101"/>
        <v>62.086991517915088</v>
      </c>
      <c r="EH59" s="2">
        <f t="shared" si="102"/>
        <v>60.464179091732959</v>
      </c>
    </row>
    <row r="60" spans="5:138">
      <c r="E60" s="18"/>
      <c r="F60" s="37">
        <v>3.0000000000000002E-2</v>
      </c>
      <c r="G60">
        <f t="shared" si="10"/>
        <v>300</v>
      </c>
      <c r="H60">
        <f t="shared" si="11"/>
        <v>289.38593600154059</v>
      </c>
      <c r="I60">
        <f t="shared" si="12"/>
        <v>278.81536485305901</v>
      </c>
      <c r="J60">
        <f t="shared" si="13"/>
        <v>268.33129219841896</v>
      </c>
      <c r="K60">
        <f t="shared" si="14"/>
        <v>257.97575507539818</v>
      </c>
      <c r="L60">
        <f t="shared" si="15"/>
        <v>247.78935204382532</v>
      </c>
      <c r="M60">
        <f t="shared" si="16"/>
        <v>237.81079039726501</v>
      </c>
      <c r="N60">
        <f t="shared" si="17"/>
        <v>228.07645576842287</v>
      </c>
      <c r="O60">
        <f t="shared" si="18"/>
        <v>218.62000911967763</v>
      </c>
      <c r="P60">
        <f t="shared" si="19"/>
        <v>209.47201572462319</v>
      </c>
      <c r="Q60">
        <f t="shared" si="20"/>
        <v>200.65961030220851</v>
      </c>
      <c r="R60">
        <f t="shared" si="21"/>
        <v>192.20620197099822</v>
      </c>
      <c r="S60">
        <f t="shared" si="22"/>
        <v>184.13122215695728</v>
      </c>
      <c r="T60">
        <f t="shared" si="23"/>
        <v>176.44991802414307</v>
      </c>
      <c r="U60">
        <f t="shared" si="24"/>
        <v>169.17319341403331</v>
      </c>
      <c r="V60">
        <f t="shared" si="25"/>
        <v>162.30749868603741</v>
      </c>
      <c r="W60">
        <f t="shared" si="26"/>
        <v>155.85477025869551</v>
      </c>
      <c r="X60">
        <f t="shared" si="27"/>
        <v>149.81242006714533</v>
      </c>
      <c r="Y60">
        <f t="shared" si="28"/>
        <v>144.17337458572592</v>
      </c>
      <c r="Z60">
        <f t="shared" si="29"/>
        <v>138.92616252213381</v>
      </c>
      <c r="AA60">
        <f t="shared" si="30"/>
        <v>134.05504977723524</v>
      </c>
      <c r="AB60">
        <f t="shared" si="31"/>
        <v>129.54021978713752</v>
      </c>
      <c r="AC60">
        <f t="shared" si="32"/>
        <v>125.35799692487302</v>
      </c>
      <c r="AD60">
        <f t="shared" si="33"/>
        <v>121.4811102403104</v>
      </c>
      <c r="AE60">
        <f t="shared" si="34"/>
        <v>117.87899445985147</v>
      </c>
      <c r="AF60">
        <f t="shared" si="35"/>
        <v>114.51812485229166</v>
      </c>
      <c r="AG60">
        <f t="shared" si="36"/>
        <v>111.36238229332253</v>
      </c>
      <c r="AH60">
        <f t="shared" si="37"/>
        <v>108.37344462730431</v>
      </c>
      <c r="AI60">
        <f t="shared" si="120"/>
        <v>105.51120022948578</v>
      </c>
      <c r="AJ60">
        <f t="shared" si="103"/>
        <v>102.73417951291933</v>
      </c>
      <c r="AK60">
        <f t="shared" si="39"/>
        <v>100</v>
      </c>
      <c r="AL60" s="16"/>
      <c r="AM60" s="37">
        <v>3.0000000000000002E-2</v>
      </c>
      <c r="AN60" s="6">
        <f t="shared" si="40"/>
        <v>-1076400000</v>
      </c>
      <c r="AO60" s="6">
        <f t="shared" si="104"/>
        <v>-1038136677.9746189</v>
      </c>
      <c r="AP60" s="6">
        <f t="shared" si="41"/>
        <v>-1000031425.3282719</v>
      </c>
      <c r="AQ60" s="6">
        <f t="shared" si="42"/>
        <v>-962240539.30702329</v>
      </c>
      <c r="AR60" s="6">
        <f t="shared" si="43"/>
        <v>-924916794.07193458</v>
      </c>
      <c r="AS60" s="6">
        <f t="shared" si="44"/>
        <v>-888207731.7992934</v>
      </c>
      <c r="AT60" s="6">
        <f t="shared" si="45"/>
        <v>-852254016.09203362</v>
      </c>
      <c r="AU60" s="6">
        <f t="shared" si="46"/>
        <v>-817187867.05949986</v>
      </c>
      <c r="AV60" s="6">
        <f t="shared" si="47"/>
        <v>-783131596.25112367</v>
      </c>
      <c r="AW60" s="6">
        <f t="shared" si="48"/>
        <v>-750196258.2132194</v>
      </c>
      <c r="AX60" s="6">
        <f t="shared" si="49"/>
        <v>-718480433.80673802</v>
      </c>
      <c r="AY60" s="6">
        <f t="shared" si="50"/>
        <v>-688069158.61086047</v>
      </c>
      <c r="AZ60" s="6">
        <f t="shared" si="51"/>
        <v>-659033007.77888417</v>
      </c>
      <c r="BA60" s="6">
        <f t="shared" si="52"/>
        <v>-631427346.64662898</v>
      </c>
      <c r="BB60" s="6">
        <f t="shared" si="53"/>
        <v>-605291754.25760019</v>
      </c>
      <c r="BC60" s="6">
        <f t="shared" si="54"/>
        <v>-580649624.80079472</v>
      </c>
      <c r="BD60" s="6">
        <f t="shared" si="55"/>
        <v>-557507949.79202187</v>
      </c>
      <c r="BE60" s="6">
        <f t="shared" si="56"/>
        <v>-535857281.70097601</v>
      </c>
      <c r="BF60" s="6">
        <f t="shared" si="57"/>
        <v>-515671877.66377962</v>
      </c>
      <c r="BG60" s="6">
        <f t="shared" si="58"/>
        <v>-496910019.95002508</v>
      </c>
      <c r="BH60" s="6">
        <f t="shared" si="59"/>
        <v>-479514507.99584436</v>
      </c>
      <c r="BI60" s="6">
        <f t="shared" si="60"/>
        <v>-463413315.08702016</v>
      </c>
      <c r="BJ60" s="6">
        <f t="shared" si="61"/>
        <v>-448520401.19075859</v>
      </c>
      <c r="BK60" s="6">
        <f t="shared" si="62"/>
        <v>-434736671.99924457</v>
      </c>
      <c r="BL60" s="6">
        <f t="shared" si="63"/>
        <v>-421951072.96614492</v>
      </c>
      <c r="BM60" s="6">
        <f t="shared" si="64"/>
        <v>-410041805.98885715</v>
      </c>
      <c r="BN60" s="6">
        <f t="shared" si="65"/>
        <v>-398877655.41162455</v>
      </c>
      <c r="BO60" s="6">
        <f t="shared" si="66"/>
        <v>-388319409.19242144</v>
      </c>
      <c r="BP60" s="6">
        <f t="shared" si="67"/>
        <v>-378221360.38301134</v>
      </c>
      <c r="BQ60" s="6">
        <f t="shared" si="68"/>
        <v>-368432873.50925553</v>
      </c>
      <c r="BR60" s="6">
        <f t="shared" si="69"/>
        <v>-358800000</v>
      </c>
      <c r="BT60" s="16"/>
      <c r="BU60" s="37">
        <v>3.0000000000000002E-2</v>
      </c>
      <c r="BV60" s="2">
        <v>0</v>
      </c>
      <c r="BW60" s="2">
        <f t="shared" ref="BW60:CY60" si="125">$B$20/($B$21-$B$22*BV60)</f>
        <v>0.34883720930232553</v>
      </c>
      <c r="BX60" s="2">
        <f t="shared" si="125"/>
        <v>0.39716748768472904</v>
      </c>
      <c r="BY60" s="2">
        <f t="shared" si="125"/>
        <v>0.40494040593779607</v>
      </c>
      <c r="BZ60" s="2">
        <f t="shared" si="125"/>
        <v>0.4062190081621499</v>
      </c>
      <c r="CA60" s="2">
        <f t="shared" si="125"/>
        <v>0.40643010492156101</v>
      </c>
      <c r="CB60" s="2">
        <f t="shared" si="125"/>
        <v>0.40646497802255066</v>
      </c>
      <c r="CC60" s="2">
        <f t="shared" si="125"/>
        <v>0.40647073962099717</v>
      </c>
      <c r="CD60" s="2">
        <f t="shared" si="125"/>
        <v>0.40647169154566137</v>
      </c>
      <c r="CE60" s="2">
        <f t="shared" si="125"/>
        <v>0.40647184882198806</v>
      </c>
      <c r="CF60" s="2">
        <f t="shared" si="125"/>
        <v>0.40647187480708435</v>
      </c>
      <c r="CG60" s="2">
        <f t="shared" si="125"/>
        <v>0.40647187910032606</v>
      </c>
      <c r="CH60" s="2">
        <f t="shared" si="125"/>
        <v>0.40647187980965277</v>
      </c>
      <c r="CI60" s="2">
        <f t="shared" si="125"/>
        <v>0.4064718799268473</v>
      </c>
      <c r="CJ60" s="2">
        <f t="shared" si="125"/>
        <v>0.40647187994621015</v>
      </c>
      <c r="CK60" s="2">
        <f t="shared" si="125"/>
        <v>0.40647187994940925</v>
      </c>
      <c r="CL60" s="2">
        <f t="shared" si="125"/>
        <v>0.40647187994993778</v>
      </c>
      <c r="CM60" s="2">
        <f t="shared" si="125"/>
        <v>0.40647187995002515</v>
      </c>
      <c r="CN60" s="2">
        <f t="shared" si="125"/>
        <v>0.40647187995003953</v>
      </c>
      <c r="CO60" s="2">
        <f t="shared" si="125"/>
        <v>0.40647187995004191</v>
      </c>
      <c r="CP60" s="2">
        <f t="shared" si="125"/>
        <v>0.40647187995004236</v>
      </c>
      <c r="CQ60" s="2">
        <f t="shared" si="125"/>
        <v>0.40647187995004236</v>
      </c>
      <c r="CR60" s="2">
        <f t="shared" si="125"/>
        <v>0.40647187995004236</v>
      </c>
      <c r="CS60" s="2">
        <f t="shared" si="125"/>
        <v>0.40647187995004236</v>
      </c>
      <c r="CT60" s="2">
        <f t="shared" si="125"/>
        <v>0.40647187995004236</v>
      </c>
      <c r="CU60" s="2">
        <f t="shared" si="125"/>
        <v>0.40647187995004236</v>
      </c>
      <c r="CV60" s="2">
        <f t="shared" si="125"/>
        <v>0.40647187995004236</v>
      </c>
      <c r="CW60" s="2">
        <f t="shared" si="125"/>
        <v>0.40647187995004236</v>
      </c>
      <c r="CX60" s="2">
        <f t="shared" si="125"/>
        <v>0.40647187995004236</v>
      </c>
      <c r="CY60" s="2">
        <f t="shared" si="125"/>
        <v>0.40647187995004236</v>
      </c>
      <c r="CZ60" s="2">
        <f t="shared" si="71"/>
        <v>100</v>
      </c>
      <c r="DB60" s="16"/>
      <c r="DC60" s="37">
        <v>3.0000000000000002E-2</v>
      </c>
      <c r="DD60" s="2">
        <f t="shared" si="72"/>
        <v>300</v>
      </c>
      <c r="DE60" s="2">
        <f t="shared" si="73"/>
        <v>192.12476221558975</v>
      </c>
      <c r="DF60" s="2">
        <f t="shared" si="74"/>
        <v>172.24289966341601</v>
      </c>
      <c r="DG60" s="2">
        <f t="shared" si="75"/>
        <v>163.86648521607776</v>
      </c>
      <c r="DH60" s="2">
        <f t="shared" si="76"/>
        <v>157.31901025501367</v>
      </c>
      <c r="DI60" s="2">
        <f t="shared" si="77"/>
        <v>151.13588755118553</v>
      </c>
      <c r="DJ60" s="2">
        <f t="shared" si="78"/>
        <v>145.10569881589177</v>
      </c>
      <c r="DK60" s="2">
        <f t="shared" si="79"/>
        <v>139.21381896559836</v>
      </c>
      <c r="DL60" s="2">
        <f t="shared" si="80"/>
        <v>133.47556455661066</v>
      </c>
      <c r="DM60" s="2">
        <f t="shared" si="81"/>
        <v>127.90953294118486</v>
      </c>
      <c r="DN60" s="2">
        <f t="shared" si="82"/>
        <v>122.53319503750775</v>
      </c>
      <c r="DO60" s="2">
        <f t="shared" si="83"/>
        <v>117.36203809982023</v>
      </c>
      <c r="DP60" s="2">
        <f t="shared" si="84"/>
        <v>112.40929228542473</v>
      </c>
      <c r="DQ60" s="2">
        <f t="shared" si="85"/>
        <v>107.68577206391281</v>
      </c>
      <c r="DR60" s="2">
        <f t="shared" si="86"/>
        <v>103.19975929375265</v>
      </c>
      <c r="DS60" s="2">
        <f t="shared" si="87"/>
        <v>98.956917219902166</v>
      </c>
      <c r="DT60" s="2">
        <f t="shared" si="88"/>
        <v>94.960234234153162</v>
      </c>
      <c r="DU60" s="2">
        <f t="shared" si="89"/>
        <v>91.209997460546134</v>
      </c>
      <c r="DV60" s="2">
        <f t="shared" si="90"/>
        <v>87.703796131109456</v>
      </c>
      <c r="DW60" s="2">
        <f t="shared" si="91"/>
        <v>84.43655442238456</v>
      </c>
      <c r="DX60" s="2">
        <f t="shared" si="92"/>
        <v>81.40059311121577</v>
      </c>
      <c r="DY60" s="2">
        <f t="shared" si="93"/>
        <v>78.585719110312766</v>
      </c>
      <c r="DZ60" s="2">
        <f t="shared" si="94"/>
        <v>75.979341667075701</v>
      </c>
      <c r="EA60" s="2">
        <f t="shared" si="95"/>
        <v>73.566613755593949</v>
      </c>
      <c r="EB60" s="2">
        <f t="shared" si="96"/>
        <v>71.330596962786814</v>
      </c>
      <c r="EC60" s="2">
        <f t="shared" si="97"/>
        <v>69.252447965809537</v>
      </c>
      <c r="ED60" s="2">
        <f t="shared" si="98"/>
        <v>67.311624519000318</v>
      </c>
      <c r="EE60" s="2">
        <f t="shared" si="99"/>
        <v>65.48610871423989</v>
      </c>
      <c r="EF60" s="2">
        <f t="shared" si="100"/>
        <v>63.752645147744332</v>
      </c>
      <c r="EG60" s="2">
        <f t="shared" si="101"/>
        <v>62.086991517915088</v>
      </c>
      <c r="EH60" s="2">
        <f t="shared" si="102"/>
        <v>60.464179091732959</v>
      </c>
    </row>
    <row r="61" spans="5:138">
      <c r="E61" s="18"/>
      <c r="F61" s="37">
        <v>2.6666666666666668E-2</v>
      </c>
      <c r="G61">
        <f t="shared" si="10"/>
        <v>300</v>
      </c>
      <c r="H61">
        <f t="shared" si="11"/>
        <v>289.38593600154059</v>
      </c>
      <c r="I61">
        <f t="shared" si="12"/>
        <v>278.81536485305901</v>
      </c>
      <c r="J61">
        <f t="shared" si="13"/>
        <v>268.33129219841902</v>
      </c>
      <c r="K61">
        <f t="shared" si="14"/>
        <v>257.97575507539824</v>
      </c>
      <c r="L61">
        <f t="shared" si="15"/>
        <v>247.78935204382537</v>
      </c>
      <c r="M61">
        <f t="shared" si="16"/>
        <v>237.81079039726507</v>
      </c>
      <c r="N61">
        <f t="shared" si="17"/>
        <v>228.07645576842293</v>
      </c>
      <c r="O61">
        <f t="shared" si="18"/>
        <v>218.62000911967766</v>
      </c>
      <c r="P61">
        <f t="shared" si="19"/>
        <v>209.47201572462325</v>
      </c>
      <c r="Q61">
        <f t="shared" si="20"/>
        <v>200.65961030220856</v>
      </c>
      <c r="R61">
        <f t="shared" si="21"/>
        <v>192.20620197099828</v>
      </c>
      <c r="S61">
        <f t="shared" si="22"/>
        <v>184.13122215695734</v>
      </c>
      <c r="T61">
        <f t="shared" si="23"/>
        <v>176.4499180241431</v>
      </c>
      <c r="U61">
        <f t="shared" si="24"/>
        <v>169.17319341403334</v>
      </c>
      <c r="V61">
        <f t="shared" si="25"/>
        <v>162.30749868603743</v>
      </c>
      <c r="W61">
        <f t="shared" si="26"/>
        <v>155.85477025869554</v>
      </c>
      <c r="X61">
        <f t="shared" si="27"/>
        <v>149.81242006714533</v>
      </c>
      <c r="Y61">
        <f t="shared" si="28"/>
        <v>144.17337458572592</v>
      </c>
      <c r="Z61">
        <f t="shared" si="29"/>
        <v>138.92616252213381</v>
      </c>
      <c r="AA61">
        <f t="shared" si="30"/>
        <v>134.05504977723524</v>
      </c>
      <c r="AB61">
        <f t="shared" si="31"/>
        <v>129.54021978713754</v>
      </c>
      <c r="AC61">
        <f t="shared" si="32"/>
        <v>125.35799692487304</v>
      </c>
      <c r="AD61">
        <f t="shared" si="33"/>
        <v>121.48111024031043</v>
      </c>
      <c r="AE61">
        <f t="shared" si="34"/>
        <v>117.8789944598515</v>
      </c>
      <c r="AF61">
        <f t="shared" si="35"/>
        <v>114.51812485229166</v>
      </c>
      <c r="AG61">
        <f t="shared" si="36"/>
        <v>111.36238229332253</v>
      </c>
      <c r="AH61">
        <f t="shared" si="37"/>
        <v>108.37344462730431</v>
      </c>
      <c r="AI61">
        <f t="shared" si="120"/>
        <v>105.51120022948578</v>
      </c>
      <c r="AJ61">
        <f t="shared" si="103"/>
        <v>102.73417951291933</v>
      </c>
      <c r="AK61">
        <f t="shared" si="39"/>
        <v>100</v>
      </c>
      <c r="AL61" s="16"/>
      <c r="AM61" s="37">
        <v>2.6666666666666668E-2</v>
      </c>
      <c r="AN61" s="6">
        <f t="shared" si="40"/>
        <v>-1076400000</v>
      </c>
      <c r="AO61" s="6">
        <f t="shared" si="104"/>
        <v>-1038136677.9746189</v>
      </c>
      <c r="AP61" s="6">
        <f t="shared" si="41"/>
        <v>-1000031425.3282719</v>
      </c>
      <c r="AQ61" s="6">
        <f t="shared" si="42"/>
        <v>-962240539.30702353</v>
      </c>
      <c r="AR61" s="6">
        <f t="shared" si="43"/>
        <v>-924916794.07193482</v>
      </c>
      <c r="AS61" s="6">
        <f t="shared" si="44"/>
        <v>-888207731.79929352</v>
      </c>
      <c r="AT61" s="6">
        <f t="shared" si="45"/>
        <v>-852254016.09203362</v>
      </c>
      <c r="AU61" s="6">
        <f t="shared" si="46"/>
        <v>-817187867.0595001</v>
      </c>
      <c r="AV61" s="6">
        <f t="shared" si="47"/>
        <v>-783131596.25112379</v>
      </c>
      <c r="AW61" s="6">
        <f t="shared" si="48"/>
        <v>-750196258.21321952</v>
      </c>
      <c r="AX61" s="6">
        <f t="shared" si="49"/>
        <v>-718480433.80673826</v>
      </c>
      <c r="AY61" s="6">
        <f t="shared" si="50"/>
        <v>-688069158.61086071</v>
      </c>
      <c r="AZ61" s="6">
        <f t="shared" si="51"/>
        <v>-659033007.77888429</v>
      </c>
      <c r="BA61" s="6">
        <f t="shared" si="52"/>
        <v>-631427346.6466291</v>
      </c>
      <c r="BB61" s="6">
        <f t="shared" si="53"/>
        <v>-605291754.25760031</v>
      </c>
      <c r="BC61" s="6">
        <f t="shared" si="54"/>
        <v>-580649624.80079472</v>
      </c>
      <c r="BD61" s="6">
        <f t="shared" si="55"/>
        <v>-557507949.79202199</v>
      </c>
      <c r="BE61" s="6">
        <f t="shared" si="56"/>
        <v>-535857281.70097601</v>
      </c>
      <c r="BF61" s="6">
        <f t="shared" si="57"/>
        <v>-515671877.66377974</v>
      </c>
      <c r="BG61" s="6">
        <f t="shared" si="58"/>
        <v>-496910019.95002508</v>
      </c>
      <c r="BH61" s="6">
        <f t="shared" si="59"/>
        <v>-479514507.99584448</v>
      </c>
      <c r="BI61" s="6">
        <f t="shared" si="60"/>
        <v>-463413315.08702022</v>
      </c>
      <c r="BJ61" s="6">
        <f t="shared" si="61"/>
        <v>-448520401.19075871</v>
      </c>
      <c r="BK61" s="6">
        <f t="shared" si="62"/>
        <v>-434736671.99924469</v>
      </c>
      <c r="BL61" s="6">
        <f t="shared" si="63"/>
        <v>-421951072.96614504</v>
      </c>
      <c r="BM61" s="6">
        <f t="shared" si="64"/>
        <v>-410041805.98885727</v>
      </c>
      <c r="BN61" s="6">
        <f t="shared" si="65"/>
        <v>-398877655.41162461</v>
      </c>
      <c r="BO61" s="6">
        <f t="shared" si="66"/>
        <v>-388319409.19242144</v>
      </c>
      <c r="BP61" s="6">
        <f t="shared" si="67"/>
        <v>-378221360.3830114</v>
      </c>
      <c r="BQ61" s="6">
        <f t="shared" si="68"/>
        <v>-368432873.50925553</v>
      </c>
      <c r="BR61" s="6">
        <f t="shared" si="69"/>
        <v>-358800000</v>
      </c>
      <c r="BT61" s="16"/>
      <c r="BU61" s="37">
        <v>2.6666666666666668E-2</v>
      </c>
      <c r="BV61" s="2">
        <v>0</v>
      </c>
      <c r="BW61" s="2">
        <f t="shared" ref="BW61:CY61" si="126">$B$20/($B$21-$B$22*BV61)</f>
        <v>0.34883720930232553</v>
      </c>
      <c r="BX61" s="2">
        <f t="shared" si="126"/>
        <v>0.39716748768472904</v>
      </c>
      <c r="BY61" s="2">
        <f t="shared" si="126"/>
        <v>0.40494040593779607</v>
      </c>
      <c r="BZ61" s="2">
        <f t="shared" si="126"/>
        <v>0.4062190081621499</v>
      </c>
      <c r="CA61" s="2">
        <f t="shared" si="126"/>
        <v>0.40643010492156101</v>
      </c>
      <c r="CB61" s="2">
        <f t="shared" si="126"/>
        <v>0.40646497802255066</v>
      </c>
      <c r="CC61" s="2">
        <f t="shared" si="126"/>
        <v>0.40647073962099717</v>
      </c>
      <c r="CD61" s="2">
        <f t="shared" si="126"/>
        <v>0.40647169154566137</v>
      </c>
      <c r="CE61" s="2">
        <f t="shared" si="126"/>
        <v>0.40647184882198806</v>
      </c>
      <c r="CF61" s="2">
        <f t="shared" si="126"/>
        <v>0.40647187480708435</v>
      </c>
      <c r="CG61" s="2">
        <f t="shared" si="126"/>
        <v>0.40647187910032606</v>
      </c>
      <c r="CH61" s="2">
        <f t="shared" si="126"/>
        <v>0.40647187980965277</v>
      </c>
      <c r="CI61" s="2">
        <f t="shared" si="126"/>
        <v>0.4064718799268473</v>
      </c>
      <c r="CJ61" s="2">
        <f t="shared" si="126"/>
        <v>0.40647187994621015</v>
      </c>
      <c r="CK61" s="2">
        <f t="shared" si="126"/>
        <v>0.40647187994940925</v>
      </c>
      <c r="CL61" s="2">
        <f t="shared" si="126"/>
        <v>0.40647187994993778</v>
      </c>
      <c r="CM61" s="2">
        <f t="shared" si="126"/>
        <v>0.40647187995002515</v>
      </c>
      <c r="CN61" s="2">
        <f t="shared" si="126"/>
        <v>0.40647187995003953</v>
      </c>
      <c r="CO61" s="2">
        <f t="shared" si="126"/>
        <v>0.40647187995004191</v>
      </c>
      <c r="CP61" s="2">
        <f t="shared" si="126"/>
        <v>0.40647187995004236</v>
      </c>
      <c r="CQ61" s="2">
        <f t="shared" si="126"/>
        <v>0.40647187995004236</v>
      </c>
      <c r="CR61" s="2">
        <f t="shared" si="126"/>
        <v>0.40647187995004236</v>
      </c>
      <c r="CS61" s="2">
        <f t="shared" si="126"/>
        <v>0.40647187995004236</v>
      </c>
      <c r="CT61" s="2">
        <f t="shared" si="126"/>
        <v>0.40647187995004236</v>
      </c>
      <c r="CU61" s="2">
        <f t="shared" si="126"/>
        <v>0.40647187995004236</v>
      </c>
      <c r="CV61" s="2">
        <f t="shared" si="126"/>
        <v>0.40647187995004236</v>
      </c>
      <c r="CW61" s="2">
        <f t="shared" si="126"/>
        <v>0.40647187995004236</v>
      </c>
      <c r="CX61" s="2">
        <f t="shared" si="126"/>
        <v>0.40647187995004236</v>
      </c>
      <c r="CY61" s="2">
        <f t="shared" si="126"/>
        <v>0.40647187995004236</v>
      </c>
      <c r="CZ61" s="2">
        <f t="shared" si="71"/>
        <v>100</v>
      </c>
      <c r="DB61" s="16"/>
      <c r="DC61" s="37">
        <v>2.6666666666666668E-2</v>
      </c>
      <c r="DD61" s="2">
        <f t="shared" si="72"/>
        <v>300</v>
      </c>
      <c r="DE61" s="2">
        <f t="shared" si="73"/>
        <v>192.12476221558975</v>
      </c>
      <c r="DF61" s="2">
        <f t="shared" si="74"/>
        <v>172.24289966341601</v>
      </c>
      <c r="DG61" s="2">
        <f t="shared" si="75"/>
        <v>163.86648521607779</v>
      </c>
      <c r="DH61" s="2">
        <f t="shared" si="76"/>
        <v>157.31901025501369</v>
      </c>
      <c r="DI61" s="2">
        <f t="shared" si="77"/>
        <v>151.13588755118559</v>
      </c>
      <c r="DJ61" s="2">
        <f t="shared" si="78"/>
        <v>145.10569881589177</v>
      </c>
      <c r="DK61" s="2">
        <f t="shared" si="79"/>
        <v>139.21381896559839</v>
      </c>
      <c r="DL61" s="2">
        <f t="shared" si="80"/>
        <v>133.47556455661069</v>
      </c>
      <c r="DM61" s="2">
        <f t="shared" si="81"/>
        <v>127.90953294118489</v>
      </c>
      <c r="DN61" s="2">
        <f t="shared" si="82"/>
        <v>122.53319503750778</v>
      </c>
      <c r="DO61" s="2">
        <f t="shared" si="83"/>
        <v>117.36203809982024</v>
      </c>
      <c r="DP61" s="2">
        <f t="shared" si="84"/>
        <v>112.40929228542474</v>
      </c>
      <c r="DQ61" s="2">
        <f t="shared" si="85"/>
        <v>107.68577206391284</v>
      </c>
      <c r="DR61" s="2">
        <f t="shared" si="86"/>
        <v>103.19975929375268</v>
      </c>
      <c r="DS61" s="2">
        <f t="shared" si="87"/>
        <v>98.956917219902181</v>
      </c>
      <c r="DT61" s="2">
        <f t="shared" si="88"/>
        <v>94.960234234153191</v>
      </c>
      <c r="DU61" s="2">
        <f t="shared" si="89"/>
        <v>91.209997460546134</v>
      </c>
      <c r="DV61" s="2">
        <f t="shared" si="90"/>
        <v>87.70379613110947</v>
      </c>
      <c r="DW61" s="2">
        <f t="shared" si="91"/>
        <v>84.43655442238456</v>
      </c>
      <c r="DX61" s="2">
        <f t="shared" si="92"/>
        <v>81.400593111215784</v>
      </c>
      <c r="DY61" s="2">
        <f t="shared" si="93"/>
        <v>78.58571911031278</v>
      </c>
      <c r="DZ61" s="2">
        <f t="shared" si="94"/>
        <v>75.979341667075715</v>
      </c>
      <c r="EA61" s="2">
        <f t="shared" si="95"/>
        <v>73.566613755593963</v>
      </c>
      <c r="EB61" s="2">
        <f t="shared" si="96"/>
        <v>71.330596962786842</v>
      </c>
      <c r="EC61" s="2">
        <f t="shared" si="97"/>
        <v>69.252447965809552</v>
      </c>
      <c r="ED61" s="2">
        <f t="shared" si="98"/>
        <v>67.311624519000333</v>
      </c>
      <c r="EE61" s="2">
        <f t="shared" si="99"/>
        <v>65.48610871423989</v>
      </c>
      <c r="EF61" s="2">
        <f t="shared" si="100"/>
        <v>63.752645147744332</v>
      </c>
      <c r="EG61" s="2">
        <f t="shared" si="101"/>
        <v>62.086991517915088</v>
      </c>
      <c r="EH61" s="2">
        <f t="shared" si="102"/>
        <v>60.464179091732959</v>
      </c>
    </row>
    <row r="62" spans="5:138">
      <c r="E62" s="18"/>
      <c r="F62" s="37">
        <v>2.3333333333333334E-2</v>
      </c>
      <c r="G62">
        <f t="shared" si="10"/>
        <v>300</v>
      </c>
      <c r="H62">
        <f t="shared" si="11"/>
        <v>289.38593600154059</v>
      </c>
      <c r="I62">
        <f t="shared" si="12"/>
        <v>278.81536485305907</v>
      </c>
      <c r="J62">
        <f t="shared" si="13"/>
        <v>268.33129219841908</v>
      </c>
      <c r="K62">
        <f t="shared" si="14"/>
        <v>257.9757550753983</v>
      </c>
      <c r="L62">
        <f t="shared" si="15"/>
        <v>247.7893520438254</v>
      </c>
      <c r="M62">
        <f t="shared" si="16"/>
        <v>237.81079039726512</v>
      </c>
      <c r="N62">
        <f t="shared" si="17"/>
        <v>228.07645576842293</v>
      </c>
      <c r="O62">
        <f t="shared" si="18"/>
        <v>218.62000911967766</v>
      </c>
      <c r="P62">
        <f t="shared" si="19"/>
        <v>209.47201572462325</v>
      </c>
      <c r="Q62">
        <f t="shared" si="20"/>
        <v>200.65961030220859</v>
      </c>
      <c r="R62">
        <f t="shared" si="21"/>
        <v>192.20620197099831</v>
      </c>
      <c r="S62">
        <f t="shared" si="22"/>
        <v>184.13122215695734</v>
      </c>
      <c r="T62">
        <f t="shared" si="23"/>
        <v>176.44991802414313</v>
      </c>
      <c r="U62">
        <f t="shared" si="24"/>
        <v>169.17319341403339</v>
      </c>
      <c r="V62">
        <f t="shared" si="25"/>
        <v>162.30749868603746</v>
      </c>
      <c r="W62">
        <f t="shared" si="26"/>
        <v>155.85477025869557</v>
      </c>
      <c r="X62">
        <f t="shared" si="27"/>
        <v>149.81242006714535</v>
      </c>
      <c r="Y62">
        <f t="shared" si="28"/>
        <v>144.17337458572595</v>
      </c>
      <c r="Z62">
        <f t="shared" si="29"/>
        <v>138.92616252213386</v>
      </c>
      <c r="AA62">
        <f t="shared" si="30"/>
        <v>134.0550497772353</v>
      </c>
      <c r="AB62">
        <f t="shared" si="31"/>
        <v>129.54021978713757</v>
      </c>
      <c r="AC62">
        <f t="shared" si="32"/>
        <v>125.35799692487305</v>
      </c>
      <c r="AD62">
        <f t="shared" si="33"/>
        <v>121.48111024031044</v>
      </c>
      <c r="AE62">
        <f t="shared" si="34"/>
        <v>117.87899445985151</v>
      </c>
      <c r="AF62">
        <f t="shared" si="35"/>
        <v>114.51812485229169</v>
      </c>
      <c r="AG62">
        <f t="shared" si="36"/>
        <v>111.36238229332253</v>
      </c>
      <c r="AH62">
        <f t="shared" si="37"/>
        <v>108.37344462730431</v>
      </c>
      <c r="AI62">
        <f t="shared" si="120"/>
        <v>105.51120022948578</v>
      </c>
      <c r="AJ62">
        <f t="shared" si="103"/>
        <v>102.73417951291933</v>
      </c>
      <c r="AK62">
        <f t="shared" si="39"/>
        <v>100</v>
      </c>
      <c r="AL62" s="16"/>
      <c r="AM62" s="37">
        <v>2.3333333333333334E-2</v>
      </c>
      <c r="AN62" s="6">
        <f t="shared" si="40"/>
        <v>-1076400000</v>
      </c>
      <c r="AO62" s="6">
        <f t="shared" si="104"/>
        <v>-1038136677.9746192</v>
      </c>
      <c r="AP62" s="6">
        <f t="shared" si="41"/>
        <v>-1000031425.3282721</v>
      </c>
      <c r="AQ62" s="6">
        <f t="shared" si="42"/>
        <v>-962240539.30702376</v>
      </c>
      <c r="AR62" s="6">
        <f t="shared" si="43"/>
        <v>-924916794.07193482</v>
      </c>
      <c r="AS62" s="6">
        <f t="shared" si="44"/>
        <v>-888207731.79929364</v>
      </c>
      <c r="AT62" s="6">
        <f t="shared" si="45"/>
        <v>-852254016.09203386</v>
      </c>
      <c r="AU62" s="6">
        <f t="shared" si="46"/>
        <v>-817187867.05950034</v>
      </c>
      <c r="AV62" s="6">
        <f t="shared" si="47"/>
        <v>-783131596.25112391</v>
      </c>
      <c r="AW62" s="6">
        <f t="shared" si="48"/>
        <v>-750196258.21321964</v>
      </c>
      <c r="AX62" s="6">
        <f t="shared" si="49"/>
        <v>-718480433.80673826</v>
      </c>
      <c r="AY62" s="6">
        <f t="shared" si="50"/>
        <v>-688069158.61086082</v>
      </c>
      <c r="AZ62" s="6">
        <f t="shared" si="51"/>
        <v>-659033007.77888429</v>
      </c>
      <c r="BA62" s="6">
        <f t="shared" si="52"/>
        <v>-631427346.6466291</v>
      </c>
      <c r="BB62" s="6">
        <f t="shared" si="53"/>
        <v>-605291754.25760043</v>
      </c>
      <c r="BC62" s="6">
        <f t="shared" si="54"/>
        <v>-580649624.80079484</v>
      </c>
      <c r="BD62" s="6">
        <f t="shared" si="55"/>
        <v>-557507949.79202211</v>
      </c>
      <c r="BE62" s="6">
        <f t="shared" si="56"/>
        <v>-535857281.70097601</v>
      </c>
      <c r="BF62" s="6">
        <f t="shared" si="57"/>
        <v>-515671877.66377985</v>
      </c>
      <c r="BG62" s="6">
        <f t="shared" si="58"/>
        <v>-496910019.9500252</v>
      </c>
      <c r="BH62" s="6">
        <f t="shared" si="59"/>
        <v>-479514507.9958446</v>
      </c>
      <c r="BI62" s="6">
        <f t="shared" si="60"/>
        <v>-463413315.08702034</v>
      </c>
      <c r="BJ62" s="6">
        <f t="shared" si="61"/>
        <v>-448520401.19075882</v>
      </c>
      <c r="BK62" s="6">
        <f t="shared" si="62"/>
        <v>-434736671.99924475</v>
      </c>
      <c r="BL62" s="6">
        <f t="shared" si="63"/>
        <v>-421951072.96614504</v>
      </c>
      <c r="BM62" s="6">
        <f t="shared" si="64"/>
        <v>-410041805.98885733</v>
      </c>
      <c r="BN62" s="6">
        <f t="shared" si="65"/>
        <v>-398877655.41162461</v>
      </c>
      <c r="BO62" s="6">
        <f t="shared" si="66"/>
        <v>-388319409.19242144</v>
      </c>
      <c r="BP62" s="6">
        <f t="shared" si="67"/>
        <v>-378221360.3830114</v>
      </c>
      <c r="BQ62" s="6">
        <f t="shared" si="68"/>
        <v>-368432873.50925553</v>
      </c>
      <c r="BR62" s="6">
        <f t="shared" si="69"/>
        <v>-358800000</v>
      </c>
      <c r="BT62" s="16"/>
      <c r="BU62" s="37">
        <v>2.3333333333333334E-2</v>
      </c>
      <c r="BV62" s="2">
        <v>0</v>
      </c>
      <c r="BW62" s="2">
        <f t="shared" ref="BW62:CY62" si="127">$B$20/($B$21-$B$22*BV62)</f>
        <v>0.34883720930232553</v>
      </c>
      <c r="BX62" s="2">
        <f t="shared" si="127"/>
        <v>0.39716748768472904</v>
      </c>
      <c r="BY62" s="2">
        <f t="shared" si="127"/>
        <v>0.40494040593779607</v>
      </c>
      <c r="BZ62" s="2">
        <f t="shared" si="127"/>
        <v>0.4062190081621499</v>
      </c>
      <c r="CA62" s="2">
        <f t="shared" si="127"/>
        <v>0.40643010492156101</v>
      </c>
      <c r="CB62" s="2">
        <f t="shared" si="127"/>
        <v>0.40646497802255066</v>
      </c>
      <c r="CC62" s="2">
        <f t="shared" si="127"/>
        <v>0.40647073962099717</v>
      </c>
      <c r="CD62" s="2">
        <f t="shared" si="127"/>
        <v>0.40647169154566137</v>
      </c>
      <c r="CE62" s="2">
        <f t="shared" si="127"/>
        <v>0.40647184882198806</v>
      </c>
      <c r="CF62" s="2">
        <f t="shared" si="127"/>
        <v>0.40647187480708435</v>
      </c>
      <c r="CG62" s="2">
        <f t="shared" si="127"/>
        <v>0.40647187910032606</v>
      </c>
      <c r="CH62" s="2">
        <f t="shared" si="127"/>
        <v>0.40647187980965277</v>
      </c>
      <c r="CI62" s="2">
        <f t="shared" si="127"/>
        <v>0.4064718799268473</v>
      </c>
      <c r="CJ62" s="2">
        <f t="shared" si="127"/>
        <v>0.40647187994621015</v>
      </c>
      <c r="CK62" s="2">
        <f t="shared" si="127"/>
        <v>0.40647187994940925</v>
      </c>
      <c r="CL62" s="2">
        <f t="shared" si="127"/>
        <v>0.40647187994993778</v>
      </c>
      <c r="CM62" s="2">
        <f t="shared" si="127"/>
        <v>0.40647187995002515</v>
      </c>
      <c r="CN62" s="2">
        <f t="shared" si="127"/>
        <v>0.40647187995003953</v>
      </c>
      <c r="CO62" s="2">
        <f t="shared" si="127"/>
        <v>0.40647187995004191</v>
      </c>
      <c r="CP62" s="2">
        <f t="shared" si="127"/>
        <v>0.40647187995004236</v>
      </c>
      <c r="CQ62" s="2">
        <f t="shared" si="127"/>
        <v>0.40647187995004236</v>
      </c>
      <c r="CR62" s="2">
        <f t="shared" si="127"/>
        <v>0.40647187995004236</v>
      </c>
      <c r="CS62" s="2">
        <f t="shared" si="127"/>
        <v>0.40647187995004236</v>
      </c>
      <c r="CT62" s="2">
        <f t="shared" si="127"/>
        <v>0.40647187995004236</v>
      </c>
      <c r="CU62" s="2">
        <f t="shared" si="127"/>
        <v>0.40647187995004236</v>
      </c>
      <c r="CV62" s="2">
        <f t="shared" si="127"/>
        <v>0.40647187995004236</v>
      </c>
      <c r="CW62" s="2">
        <f t="shared" si="127"/>
        <v>0.40647187995004236</v>
      </c>
      <c r="CX62" s="2">
        <f t="shared" si="127"/>
        <v>0.40647187995004236</v>
      </c>
      <c r="CY62" s="2">
        <f t="shared" si="127"/>
        <v>0.40647187995004236</v>
      </c>
      <c r="CZ62" s="2">
        <f t="shared" si="71"/>
        <v>100</v>
      </c>
      <c r="DB62" s="16"/>
      <c r="DC62" s="37">
        <v>2.3333333333333334E-2</v>
      </c>
      <c r="DD62" s="2">
        <f t="shared" si="72"/>
        <v>300</v>
      </c>
      <c r="DE62" s="2">
        <f t="shared" si="73"/>
        <v>192.12476221558975</v>
      </c>
      <c r="DF62" s="2">
        <f t="shared" si="74"/>
        <v>172.24289966341604</v>
      </c>
      <c r="DG62" s="2">
        <f t="shared" si="75"/>
        <v>163.86648521607782</v>
      </c>
      <c r="DH62" s="2">
        <f t="shared" si="76"/>
        <v>157.31901025501372</v>
      </c>
      <c r="DI62" s="2">
        <f t="shared" si="77"/>
        <v>151.13588755118559</v>
      </c>
      <c r="DJ62" s="2">
        <f t="shared" si="78"/>
        <v>145.10569881589183</v>
      </c>
      <c r="DK62" s="2">
        <f t="shared" si="79"/>
        <v>139.21381896559842</v>
      </c>
      <c r="DL62" s="2">
        <f t="shared" si="80"/>
        <v>133.47556455661069</v>
      </c>
      <c r="DM62" s="2">
        <f t="shared" si="81"/>
        <v>127.90953294118489</v>
      </c>
      <c r="DN62" s="2">
        <f t="shared" si="82"/>
        <v>122.53319503750778</v>
      </c>
      <c r="DO62" s="2">
        <f t="shared" si="83"/>
        <v>117.36203809982027</v>
      </c>
      <c r="DP62" s="2">
        <f t="shared" si="84"/>
        <v>112.40929228542474</v>
      </c>
      <c r="DQ62" s="2">
        <f t="shared" si="85"/>
        <v>107.68577206391284</v>
      </c>
      <c r="DR62" s="2">
        <f t="shared" si="86"/>
        <v>103.19975929375269</v>
      </c>
      <c r="DS62" s="2">
        <f t="shared" si="87"/>
        <v>98.956917219902195</v>
      </c>
      <c r="DT62" s="2">
        <f t="shared" si="88"/>
        <v>94.960234234153205</v>
      </c>
      <c r="DU62" s="2">
        <f t="shared" si="89"/>
        <v>91.209997460546148</v>
      </c>
      <c r="DV62" s="2">
        <f t="shared" si="90"/>
        <v>87.703796131109485</v>
      </c>
      <c r="DW62" s="2">
        <f t="shared" si="91"/>
        <v>84.436554422384589</v>
      </c>
      <c r="DX62" s="2">
        <f t="shared" si="92"/>
        <v>81.400593111215812</v>
      </c>
      <c r="DY62" s="2">
        <f t="shared" si="93"/>
        <v>78.585719110312795</v>
      </c>
      <c r="DZ62" s="2">
        <f t="shared" si="94"/>
        <v>75.97934166707573</v>
      </c>
      <c r="EA62" s="2">
        <f t="shared" si="95"/>
        <v>73.566613755593963</v>
      </c>
      <c r="EB62" s="2">
        <f t="shared" si="96"/>
        <v>71.330596962786842</v>
      </c>
      <c r="EC62" s="2">
        <f t="shared" si="97"/>
        <v>69.252447965809566</v>
      </c>
      <c r="ED62" s="2">
        <f t="shared" si="98"/>
        <v>67.311624519000333</v>
      </c>
      <c r="EE62" s="2">
        <f t="shared" si="99"/>
        <v>65.48610871423989</v>
      </c>
      <c r="EF62" s="2">
        <f t="shared" si="100"/>
        <v>63.752645147744332</v>
      </c>
      <c r="EG62" s="2">
        <f t="shared" si="101"/>
        <v>62.086991517915088</v>
      </c>
      <c r="EH62" s="2">
        <f t="shared" si="102"/>
        <v>60.464179091732959</v>
      </c>
    </row>
    <row r="63" spans="5:138">
      <c r="E63" s="18"/>
      <c r="F63" s="37">
        <v>0.02</v>
      </c>
      <c r="G63">
        <f t="shared" si="10"/>
        <v>300</v>
      </c>
      <c r="H63">
        <f t="shared" si="11"/>
        <v>289.38593600154059</v>
      </c>
      <c r="I63">
        <f t="shared" si="12"/>
        <v>278.81536485305907</v>
      </c>
      <c r="J63">
        <f t="shared" si="13"/>
        <v>268.33129219841902</v>
      </c>
      <c r="K63">
        <f t="shared" si="14"/>
        <v>257.97575507539824</v>
      </c>
      <c r="L63">
        <f t="shared" si="15"/>
        <v>247.78935204382537</v>
      </c>
      <c r="M63">
        <f t="shared" si="16"/>
        <v>237.81079039726507</v>
      </c>
      <c r="N63">
        <f t="shared" si="17"/>
        <v>228.07645576842293</v>
      </c>
      <c r="O63">
        <f t="shared" si="18"/>
        <v>218.62000911967766</v>
      </c>
      <c r="P63">
        <f t="shared" si="19"/>
        <v>209.47201572462325</v>
      </c>
      <c r="Q63">
        <f t="shared" si="20"/>
        <v>200.65961030220859</v>
      </c>
      <c r="R63">
        <f t="shared" si="21"/>
        <v>192.20620197099831</v>
      </c>
      <c r="S63">
        <f t="shared" si="22"/>
        <v>184.13122215695734</v>
      </c>
      <c r="T63">
        <f t="shared" si="23"/>
        <v>176.44991802414313</v>
      </c>
      <c r="U63">
        <f t="shared" si="24"/>
        <v>169.17319341403339</v>
      </c>
      <c r="V63">
        <f t="shared" si="25"/>
        <v>162.30749868603746</v>
      </c>
      <c r="W63">
        <f t="shared" si="26"/>
        <v>155.85477025869557</v>
      </c>
      <c r="X63">
        <f t="shared" si="27"/>
        <v>149.81242006714535</v>
      </c>
      <c r="Y63">
        <f t="shared" si="28"/>
        <v>144.17337458572595</v>
      </c>
      <c r="Z63">
        <f t="shared" si="29"/>
        <v>138.92616252213386</v>
      </c>
      <c r="AA63">
        <f t="shared" si="30"/>
        <v>134.05504977723527</v>
      </c>
      <c r="AB63">
        <f t="shared" si="31"/>
        <v>129.54021978713757</v>
      </c>
      <c r="AC63">
        <f t="shared" si="32"/>
        <v>125.35799692487305</v>
      </c>
      <c r="AD63">
        <f t="shared" si="33"/>
        <v>121.48111024031044</v>
      </c>
      <c r="AE63">
        <f t="shared" si="34"/>
        <v>117.87899445985151</v>
      </c>
      <c r="AF63">
        <f t="shared" si="35"/>
        <v>114.51812485229169</v>
      </c>
      <c r="AG63">
        <f t="shared" si="36"/>
        <v>111.36238229332253</v>
      </c>
      <c r="AH63">
        <f t="shared" si="37"/>
        <v>108.37344462730431</v>
      </c>
      <c r="AI63">
        <f t="shared" si="120"/>
        <v>105.51120022948578</v>
      </c>
      <c r="AJ63">
        <f t="shared" si="103"/>
        <v>102.73417951291933</v>
      </c>
      <c r="AK63">
        <f t="shared" si="39"/>
        <v>100</v>
      </c>
      <c r="AL63" s="16"/>
      <c r="AM63" s="37">
        <v>0.02</v>
      </c>
      <c r="AN63" s="6">
        <f t="shared" si="40"/>
        <v>-1076400000</v>
      </c>
      <c r="AO63" s="6">
        <f t="shared" si="104"/>
        <v>-1038136677.9746192</v>
      </c>
      <c r="AP63" s="6">
        <f t="shared" si="41"/>
        <v>-1000031425.3282721</v>
      </c>
      <c r="AQ63" s="6">
        <f t="shared" si="42"/>
        <v>-962240539.30702376</v>
      </c>
      <c r="AR63" s="6">
        <f t="shared" si="43"/>
        <v>-924916794.07193482</v>
      </c>
      <c r="AS63" s="6">
        <f t="shared" si="44"/>
        <v>-888207731.79929352</v>
      </c>
      <c r="AT63" s="6">
        <f t="shared" si="45"/>
        <v>-852254016.09203362</v>
      </c>
      <c r="AU63" s="6">
        <f t="shared" si="46"/>
        <v>-817187867.05950022</v>
      </c>
      <c r="AV63" s="6">
        <f t="shared" si="47"/>
        <v>-783131596.25112391</v>
      </c>
      <c r="AW63" s="6">
        <f t="shared" si="48"/>
        <v>-750196258.21321964</v>
      </c>
      <c r="AX63" s="6">
        <f t="shared" si="49"/>
        <v>-718480433.80673826</v>
      </c>
      <c r="AY63" s="6">
        <f t="shared" si="50"/>
        <v>-688069158.61086082</v>
      </c>
      <c r="AZ63" s="6">
        <f t="shared" si="51"/>
        <v>-659033007.77888417</v>
      </c>
      <c r="BA63" s="6">
        <f t="shared" si="52"/>
        <v>-631427346.6466291</v>
      </c>
      <c r="BB63" s="6">
        <f t="shared" si="53"/>
        <v>-605291754.25760043</v>
      </c>
      <c r="BC63" s="6">
        <f t="shared" si="54"/>
        <v>-580649624.80079484</v>
      </c>
      <c r="BD63" s="6">
        <f t="shared" si="55"/>
        <v>-557507949.79202211</v>
      </c>
      <c r="BE63" s="6">
        <f t="shared" si="56"/>
        <v>-535857281.70097601</v>
      </c>
      <c r="BF63" s="6">
        <f t="shared" si="57"/>
        <v>-515671877.66377985</v>
      </c>
      <c r="BG63" s="6">
        <f t="shared" si="58"/>
        <v>-496910019.9500252</v>
      </c>
      <c r="BH63" s="6">
        <f t="shared" si="59"/>
        <v>-479514507.99584448</v>
      </c>
      <c r="BI63" s="6">
        <f t="shared" si="60"/>
        <v>-463413315.08702034</v>
      </c>
      <c r="BJ63" s="6">
        <f t="shared" si="61"/>
        <v>-448520401.19075882</v>
      </c>
      <c r="BK63" s="6">
        <f t="shared" si="62"/>
        <v>-434736671.99924469</v>
      </c>
      <c r="BL63" s="6">
        <f t="shared" si="63"/>
        <v>-421951072.96614504</v>
      </c>
      <c r="BM63" s="6">
        <f t="shared" si="64"/>
        <v>-410041805.98885733</v>
      </c>
      <c r="BN63" s="6">
        <f t="shared" si="65"/>
        <v>-398877655.41162461</v>
      </c>
      <c r="BO63" s="6">
        <f t="shared" si="66"/>
        <v>-388319409.19242144</v>
      </c>
      <c r="BP63" s="6">
        <f t="shared" si="67"/>
        <v>-378221360.3830114</v>
      </c>
      <c r="BQ63" s="6">
        <f t="shared" si="68"/>
        <v>-368432873.50925553</v>
      </c>
      <c r="BR63" s="6">
        <f t="shared" si="69"/>
        <v>-358800000</v>
      </c>
      <c r="BT63" s="16"/>
      <c r="BU63" s="37">
        <v>0.02</v>
      </c>
      <c r="BV63" s="2">
        <v>0</v>
      </c>
      <c r="BW63" s="2">
        <f t="shared" ref="BW63:CY63" si="128">$B$20/($B$21-$B$22*BV63)</f>
        <v>0.34883720930232553</v>
      </c>
      <c r="BX63" s="2">
        <f t="shared" si="128"/>
        <v>0.39716748768472904</v>
      </c>
      <c r="BY63" s="2">
        <f t="shared" si="128"/>
        <v>0.40494040593779607</v>
      </c>
      <c r="BZ63" s="2">
        <f t="shared" si="128"/>
        <v>0.4062190081621499</v>
      </c>
      <c r="CA63" s="2">
        <f t="shared" si="128"/>
        <v>0.40643010492156101</v>
      </c>
      <c r="CB63" s="2">
        <f t="shared" si="128"/>
        <v>0.40646497802255066</v>
      </c>
      <c r="CC63" s="2">
        <f t="shared" si="128"/>
        <v>0.40647073962099717</v>
      </c>
      <c r="CD63" s="2">
        <f t="shared" si="128"/>
        <v>0.40647169154566137</v>
      </c>
      <c r="CE63" s="2">
        <f t="shared" si="128"/>
        <v>0.40647184882198806</v>
      </c>
      <c r="CF63" s="2">
        <f t="shared" si="128"/>
        <v>0.40647187480708435</v>
      </c>
      <c r="CG63" s="2">
        <f t="shared" si="128"/>
        <v>0.40647187910032606</v>
      </c>
      <c r="CH63" s="2">
        <f t="shared" si="128"/>
        <v>0.40647187980965277</v>
      </c>
      <c r="CI63" s="2">
        <f t="shared" si="128"/>
        <v>0.4064718799268473</v>
      </c>
      <c r="CJ63" s="2">
        <f t="shared" si="128"/>
        <v>0.40647187994621015</v>
      </c>
      <c r="CK63" s="2">
        <f t="shared" si="128"/>
        <v>0.40647187994940925</v>
      </c>
      <c r="CL63" s="2">
        <f t="shared" si="128"/>
        <v>0.40647187994993778</v>
      </c>
      <c r="CM63" s="2">
        <f t="shared" si="128"/>
        <v>0.40647187995002515</v>
      </c>
      <c r="CN63" s="2">
        <f t="shared" si="128"/>
        <v>0.40647187995003953</v>
      </c>
      <c r="CO63" s="2">
        <f t="shared" si="128"/>
        <v>0.40647187995004191</v>
      </c>
      <c r="CP63" s="2">
        <f t="shared" si="128"/>
        <v>0.40647187995004236</v>
      </c>
      <c r="CQ63" s="2">
        <f t="shared" si="128"/>
        <v>0.40647187995004236</v>
      </c>
      <c r="CR63" s="2">
        <f t="shared" si="128"/>
        <v>0.40647187995004236</v>
      </c>
      <c r="CS63" s="2">
        <f t="shared" si="128"/>
        <v>0.40647187995004236</v>
      </c>
      <c r="CT63" s="2">
        <f t="shared" si="128"/>
        <v>0.40647187995004236</v>
      </c>
      <c r="CU63" s="2">
        <f t="shared" si="128"/>
        <v>0.40647187995004236</v>
      </c>
      <c r="CV63" s="2">
        <f t="shared" si="128"/>
        <v>0.40647187995004236</v>
      </c>
      <c r="CW63" s="2">
        <f t="shared" si="128"/>
        <v>0.40647187995004236</v>
      </c>
      <c r="CX63" s="2">
        <f t="shared" si="128"/>
        <v>0.40647187995004236</v>
      </c>
      <c r="CY63" s="2">
        <f t="shared" si="128"/>
        <v>0.40647187995004236</v>
      </c>
      <c r="CZ63" s="2">
        <f t="shared" si="71"/>
        <v>100</v>
      </c>
      <c r="DB63" s="16"/>
      <c r="DC63" s="37">
        <v>0.02</v>
      </c>
      <c r="DD63" s="2">
        <f t="shared" si="72"/>
        <v>300</v>
      </c>
      <c r="DE63" s="2">
        <f t="shared" si="73"/>
        <v>192.12476221558975</v>
      </c>
      <c r="DF63" s="2">
        <f t="shared" si="74"/>
        <v>172.24289966341604</v>
      </c>
      <c r="DG63" s="2">
        <f t="shared" si="75"/>
        <v>163.86648521607782</v>
      </c>
      <c r="DH63" s="2">
        <f t="shared" si="76"/>
        <v>157.31901025501372</v>
      </c>
      <c r="DI63" s="2">
        <f t="shared" si="77"/>
        <v>151.13588755118559</v>
      </c>
      <c r="DJ63" s="2">
        <f t="shared" si="78"/>
        <v>145.10569881589177</v>
      </c>
      <c r="DK63" s="2">
        <f t="shared" si="79"/>
        <v>139.21381896559839</v>
      </c>
      <c r="DL63" s="2">
        <f t="shared" si="80"/>
        <v>133.47556455661069</v>
      </c>
      <c r="DM63" s="2">
        <f t="shared" si="81"/>
        <v>127.90953294118489</v>
      </c>
      <c r="DN63" s="2">
        <f t="shared" si="82"/>
        <v>122.53319503750778</v>
      </c>
      <c r="DO63" s="2">
        <f t="shared" si="83"/>
        <v>117.36203809982027</v>
      </c>
      <c r="DP63" s="2">
        <f t="shared" si="84"/>
        <v>112.40929228542474</v>
      </c>
      <c r="DQ63" s="2">
        <f t="shared" si="85"/>
        <v>107.68577206391284</v>
      </c>
      <c r="DR63" s="2">
        <f t="shared" si="86"/>
        <v>103.19975929375269</v>
      </c>
      <c r="DS63" s="2">
        <f t="shared" si="87"/>
        <v>98.956917219902195</v>
      </c>
      <c r="DT63" s="2">
        <f t="shared" si="88"/>
        <v>94.960234234153205</v>
      </c>
      <c r="DU63" s="2">
        <f t="shared" si="89"/>
        <v>91.209997460546148</v>
      </c>
      <c r="DV63" s="2">
        <f t="shared" si="90"/>
        <v>87.703796131109485</v>
      </c>
      <c r="DW63" s="2">
        <f t="shared" si="91"/>
        <v>84.436554422384589</v>
      </c>
      <c r="DX63" s="2">
        <f t="shared" si="92"/>
        <v>81.400593111215784</v>
      </c>
      <c r="DY63" s="2">
        <f t="shared" si="93"/>
        <v>78.585719110312795</v>
      </c>
      <c r="DZ63" s="2">
        <f t="shared" si="94"/>
        <v>75.97934166707573</v>
      </c>
      <c r="EA63" s="2">
        <f t="shared" si="95"/>
        <v>73.566613755593963</v>
      </c>
      <c r="EB63" s="2">
        <f t="shared" si="96"/>
        <v>71.330596962786842</v>
      </c>
      <c r="EC63" s="2">
        <f t="shared" si="97"/>
        <v>69.252447965809566</v>
      </c>
      <c r="ED63" s="2">
        <f t="shared" si="98"/>
        <v>67.311624519000333</v>
      </c>
      <c r="EE63" s="2">
        <f t="shared" si="99"/>
        <v>65.48610871423989</v>
      </c>
      <c r="EF63" s="2">
        <f t="shared" si="100"/>
        <v>63.752645147744332</v>
      </c>
      <c r="EG63" s="2">
        <f t="shared" si="101"/>
        <v>62.086991517915088</v>
      </c>
      <c r="EH63" s="2">
        <f t="shared" si="102"/>
        <v>60.464179091732959</v>
      </c>
    </row>
    <row r="64" spans="5:138">
      <c r="E64" s="18"/>
      <c r="F64" s="37">
        <v>1.6666666666666666E-2</v>
      </c>
      <c r="G64">
        <f t="shared" si="10"/>
        <v>300</v>
      </c>
      <c r="H64">
        <f t="shared" si="11"/>
        <v>289.38593600154059</v>
      </c>
      <c r="I64">
        <f t="shared" si="12"/>
        <v>278.81536485305907</v>
      </c>
      <c r="J64">
        <f t="shared" si="13"/>
        <v>268.33129219841902</v>
      </c>
      <c r="K64">
        <f t="shared" si="14"/>
        <v>257.97575507539824</v>
      </c>
      <c r="L64">
        <f t="shared" si="15"/>
        <v>247.78935204382537</v>
      </c>
      <c r="M64">
        <f t="shared" si="16"/>
        <v>237.81079039726507</v>
      </c>
      <c r="N64">
        <f t="shared" si="17"/>
        <v>228.07645576842293</v>
      </c>
      <c r="O64">
        <f t="shared" si="18"/>
        <v>218.62000911967766</v>
      </c>
      <c r="P64">
        <f t="shared" si="19"/>
        <v>209.47201572462325</v>
      </c>
      <c r="Q64">
        <f t="shared" si="20"/>
        <v>200.65961030220853</v>
      </c>
      <c r="R64">
        <f t="shared" si="21"/>
        <v>192.20620197099825</v>
      </c>
      <c r="S64">
        <f t="shared" si="22"/>
        <v>184.13122215695728</v>
      </c>
      <c r="T64">
        <f t="shared" si="23"/>
        <v>176.44991802414307</v>
      </c>
      <c r="U64">
        <f t="shared" si="24"/>
        <v>169.17319341403336</v>
      </c>
      <c r="V64">
        <f t="shared" si="25"/>
        <v>162.30749868603746</v>
      </c>
      <c r="W64">
        <f t="shared" si="26"/>
        <v>155.85477025869557</v>
      </c>
      <c r="X64">
        <f t="shared" si="27"/>
        <v>149.81242006714535</v>
      </c>
      <c r="Y64">
        <f t="shared" si="28"/>
        <v>144.17337458572592</v>
      </c>
      <c r="Z64">
        <f t="shared" si="29"/>
        <v>138.92616252213381</v>
      </c>
      <c r="AA64">
        <f t="shared" si="30"/>
        <v>134.05504977723524</v>
      </c>
      <c r="AB64">
        <f t="shared" si="31"/>
        <v>129.54021978713757</v>
      </c>
      <c r="AC64">
        <f t="shared" si="32"/>
        <v>125.35799692487305</v>
      </c>
      <c r="AD64">
        <f t="shared" si="33"/>
        <v>121.48111024031043</v>
      </c>
      <c r="AE64">
        <f t="shared" si="34"/>
        <v>117.8789944598515</v>
      </c>
      <c r="AF64">
        <f t="shared" si="35"/>
        <v>114.51812485229166</v>
      </c>
      <c r="AG64">
        <f t="shared" si="36"/>
        <v>111.36238229332253</v>
      </c>
      <c r="AH64">
        <f t="shared" si="37"/>
        <v>108.37344462730431</v>
      </c>
      <c r="AI64">
        <f t="shared" si="120"/>
        <v>105.51120022948578</v>
      </c>
      <c r="AJ64">
        <f t="shared" si="103"/>
        <v>102.73417951291933</v>
      </c>
      <c r="AK64">
        <f t="shared" si="39"/>
        <v>100</v>
      </c>
      <c r="AL64" s="16"/>
      <c r="AM64" s="37">
        <v>1.6666666666666666E-2</v>
      </c>
      <c r="AN64" s="6">
        <f t="shared" si="40"/>
        <v>-1076400000</v>
      </c>
      <c r="AO64" s="6">
        <f t="shared" si="104"/>
        <v>-1038136677.9746192</v>
      </c>
      <c r="AP64" s="6">
        <f t="shared" si="41"/>
        <v>-1000031425.3282721</v>
      </c>
      <c r="AQ64" s="6">
        <f t="shared" si="42"/>
        <v>-962240539.30702376</v>
      </c>
      <c r="AR64" s="6">
        <f t="shared" si="43"/>
        <v>-924916794.07193482</v>
      </c>
      <c r="AS64" s="6">
        <f t="shared" si="44"/>
        <v>-888207731.7992934</v>
      </c>
      <c r="AT64" s="6">
        <f t="shared" si="45"/>
        <v>-852254016.09203362</v>
      </c>
      <c r="AU64" s="6">
        <f t="shared" si="46"/>
        <v>-817187867.0595001</v>
      </c>
      <c r="AV64" s="6">
        <f t="shared" si="47"/>
        <v>-783131596.25112379</v>
      </c>
      <c r="AW64" s="6">
        <f t="shared" si="48"/>
        <v>-750196258.21321964</v>
      </c>
      <c r="AX64" s="6">
        <f t="shared" si="49"/>
        <v>-718480433.80673826</v>
      </c>
      <c r="AY64" s="6">
        <f t="shared" si="50"/>
        <v>-688069158.61086071</v>
      </c>
      <c r="AZ64" s="6">
        <f t="shared" si="51"/>
        <v>-659033007.77888417</v>
      </c>
      <c r="BA64" s="6">
        <f t="shared" si="52"/>
        <v>-631427346.6466291</v>
      </c>
      <c r="BB64" s="6">
        <f t="shared" si="53"/>
        <v>-605291754.25760043</v>
      </c>
      <c r="BC64" s="6">
        <f t="shared" si="54"/>
        <v>-580649624.80079484</v>
      </c>
      <c r="BD64" s="6">
        <f t="shared" si="55"/>
        <v>-557507949.79202211</v>
      </c>
      <c r="BE64" s="6">
        <f t="shared" si="56"/>
        <v>-535857281.70097601</v>
      </c>
      <c r="BF64" s="6">
        <f t="shared" si="57"/>
        <v>-515671877.66377974</v>
      </c>
      <c r="BG64" s="6">
        <f t="shared" si="58"/>
        <v>-496910019.95002508</v>
      </c>
      <c r="BH64" s="6">
        <f t="shared" si="59"/>
        <v>-479514507.99584436</v>
      </c>
      <c r="BI64" s="6">
        <f t="shared" si="60"/>
        <v>-463413315.08702034</v>
      </c>
      <c r="BJ64" s="6">
        <f t="shared" si="61"/>
        <v>-448520401.19075882</v>
      </c>
      <c r="BK64" s="6">
        <f t="shared" si="62"/>
        <v>-434736671.99924463</v>
      </c>
      <c r="BL64" s="6">
        <f t="shared" si="63"/>
        <v>-421951072.96614504</v>
      </c>
      <c r="BM64" s="6">
        <f t="shared" si="64"/>
        <v>-410041805.98885727</v>
      </c>
      <c r="BN64" s="6">
        <f t="shared" si="65"/>
        <v>-398877655.41162461</v>
      </c>
      <c r="BO64" s="6">
        <f t="shared" si="66"/>
        <v>-388319409.19242144</v>
      </c>
      <c r="BP64" s="6">
        <f t="shared" si="67"/>
        <v>-378221360.3830114</v>
      </c>
      <c r="BQ64" s="6">
        <f t="shared" si="68"/>
        <v>-368432873.50925553</v>
      </c>
      <c r="BR64" s="6">
        <f t="shared" si="69"/>
        <v>-358800000</v>
      </c>
      <c r="BT64" s="16"/>
      <c r="BU64" s="37">
        <v>1.6666666666666666E-2</v>
      </c>
      <c r="BV64" s="2">
        <v>0</v>
      </c>
      <c r="BW64" s="2">
        <f t="shared" ref="BW64:CY64" si="129">$B$20/($B$21-$B$22*BV64)</f>
        <v>0.34883720930232553</v>
      </c>
      <c r="BX64" s="2">
        <f t="shared" si="129"/>
        <v>0.39716748768472904</v>
      </c>
      <c r="BY64" s="2">
        <f t="shared" si="129"/>
        <v>0.40494040593779607</v>
      </c>
      <c r="BZ64" s="2">
        <f t="shared" si="129"/>
        <v>0.4062190081621499</v>
      </c>
      <c r="CA64" s="2">
        <f t="shared" si="129"/>
        <v>0.40643010492156101</v>
      </c>
      <c r="CB64" s="2">
        <f t="shared" si="129"/>
        <v>0.40646497802255066</v>
      </c>
      <c r="CC64" s="2">
        <f t="shared" si="129"/>
        <v>0.40647073962099717</v>
      </c>
      <c r="CD64" s="2">
        <f t="shared" si="129"/>
        <v>0.40647169154566137</v>
      </c>
      <c r="CE64" s="2">
        <f t="shared" si="129"/>
        <v>0.40647184882198806</v>
      </c>
      <c r="CF64" s="2">
        <f t="shared" si="129"/>
        <v>0.40647187480708435</v>
      </c>
      <c r="CG64" s="2">
        <f t="shared" si="129"/>
        <v>0.40647187910032606</v>
      </c>
      <c r="CH64" s="2">
        <f t="shared" si="129"/>
        <v>0.40647187980965277</v>
      </c>
      <c r="CI64" s="2">
        <f t="shared" si="129"/>
        <v>0.4064718799268473</v>
      </c>
      <c r="CJ64" s="2">
        <f t="shared" si="129"/>
        <v>0.40647187994621015</v>
      </c>
      <c r="CK64" s="2">
        <f t="shared" si="129"/>
        <v>0.40647187994940925</v>
      </c>
      <c r="CL64" s="2">
        <f t="shared" si="129"/>
        <v>0.40647187994993778</v>
      </c>
      <c r="CM64" s="2">
        <f t="shared" si="129"/>
        <v>0.40647187995002515</v>
      </c>
      <c r="CN64" s="2">
        <f t="shared" si="129"/>
        <v>0.40647187995003953</v>
      </c>
      <c r="CO64" s="2">
        <f t="shared" si="129"/>
        <v>0.40647187995004191</v>
      </c>
      <c r="CP64" s="2">
        <f t="shared" si="129"/>
        <v>0.40647187995004236</v>
      </c>
      <c r="CQ64" s="2">
        <f t="shared" si="129"/>
        <v>0.40647187995004236</v>
      </c>
      <c r="CR64" s="2">
        <f t="shared" si="129"/>
        <v>0.40647187995004236</v>
      </c>
      <c r="CS64" s="2">
        <f t="shared" si="129"/>
        <v>0.40647187995004236</v>
      </c>
      <c r="CT64" s="2">
        <f t="shared" si="129"/>
        <v>0.40647187995004236</v>
      </c>
      <c r="CU64" s="2">
        <f t="shared" si="129"/>
        <v>0.40647187995004236</v>
      </c>
      <c r="CV64" s="2">
        <f t="shared" si="129"/>
        <v>0.40647187995004236</v>
      </c>
      <c r="CW64" s="2">
        <f t="shared" si="129"/>
        <v>0.40647187995004236</v>
      </c>
      <c r="CX64" s="2">
        <f t="shared" si="129"/>
        <v>0.40647187995004236</v>
      </c>
      <c r="CY64" s="2">
        <f t="shared" si="129"/>
        <v>0.40647187995004236</v>
      </c>
      <c r="CZ64" s="2">
        <f t="shared" si="71"/>
        <v>100</v>
      </c>
      <c r="DB64" s="16"/>
      <c r="DC64" s="37">
        <v>1.6666666666666666E-2</v>
      </c>
      <c r="DD64" s="2">
        <f t="shared" si="72"/>
        <v>300</v>
      </c>
      <c r="DE64" s="2">
        <f t="shared" si="73"/>
        <v>192.12476221558975</v>
      </c>
      <c r="DF64" s="2">
        <f t="shared" si="74"/>
        <v>172.24289966341604</v>
      </c>
      <c r="DG64" s="2">
        <f t="shared" si="75"/>
        <v>163.86648521607782</v>
      </c>
      <c r="DH64" s="2">
        <f t="shared" si="76"/>
        <v>157.31901025501372</v>
      </c>
      <c r="DI64" s="2">
        <f t="shared" si="77"/>
        <v>151.13588755118559</v>
      </c>
      <c r="DJ64" s="2">
        <f t="shared" si="78"/>
        <v>145.10569881589177</v>
      </c>
      <c r="DK64" s="2">
        <f t="shared" si="79"/>
        <v>139.21381896559839</v>
      </c>
      <c r="DL64" s="2">
        <f t="shared" si="80"/>
        <v>133.47556455661069</v>
      </c>
      <c r="DM64" s="2">
        <f t="shared" si="81"/>
        <v>127.90953294118489</v>
      </c>
      <c r="DN64" s="2">
        <f t="shared" si="82"/>
        <v>122.53319503750778</v>
      </c>
      <c r="DO64" s="2">
        <f t="shared" si="83"/>
        <v>117.36203809982024</v>
      </c>
      <c r="DP64" s="2">
        <f t="shared" si="84"/>
        <v>112.40929228542473</v>
      </c>
      <c r="DQ64" s="2">
        <f t="shared" si="85"/>
        <v>107.68577206391281</v>
      </c>
      <c r="DR64" s="2">
        <f t="shared" si="86"/>
        <v>103.19975929375268</v>
      </c>
      <c r="DS64" s="2">
        <f t="shared" si="87"/>
        <v>98.956917219902195</v>
      </c>
      <c r="DT64" s="2">
        <f t="shared" si="88"/>
        <v>94.960234234153205</v>
      </c>
      <c r="DU64" s="2">
        <f t="shared" si="89"/>
        <v>91.209997460546148</v>
      </c>
      <c r="DV64" s="2">
        <f t="shared" si="90"/>
        <v>87.70379613110947</v>
      </c>
      <c r="DW64" s="2">
        <f t="shared" si="91"/>
        <v>84.43655442238456</v>
      </c>
      <c r="DX64" s="2">
        <f t="shared" si="92"/>
        <v>81.40059311121577</v>
      </c>
      <c r="DY64" s="2">
        <f t="shared" si="93"/>
        <v>78.585719110312795</v>
      </c>
      <c r="DZ64" s="2">
        <f t="shared" si="94"/>
        <v>75.97934166707573</v>
      </c>
      <c r="EA64" s="2">
        <f t="shared" si="95"/>
        <v>73.566613755593963</v>
      </c>
      <c r="EB64" s="2">
        <f t="shared" si="96"/>
        <v>71.330596962786842</v>
      </c>
      <c r="EC64" s="2">
        <f t="shared" si="97"/>
        <v>69.252447965809552</v>
      </c>
      <c r="ED64" s="2">
        <f t="shared" si="98"/>
        <v>67.311624519000333</v>
      </c>
      <c r="EE64" s="2">
        <f t="shared" si="99"/>
        <v>65.48610871423989</v>
      </c>
      <c r="EF64" s="2">
        <f t="shared" si="100"/>
        <v>63.752645147744332</v>
      </c>
      <c r="EG64" s="2">
        <f t="shared" si="101"/>
        <v>62.086991517915088</v>
      </c>
      <c r="EH64" s="2">
        <f t="shared" si="102"/>
        <v>60.464179091732959</v>
      </c>
    </row>
    <row r="65" spans="5:138">
      <c r="E65" s="18"/>
      <c r="F65" s="37">
        <v>1.3333333333333334E-2</v>
      </c>
      <c r="G65">
        <f t="shared" si="10"/>
        <v>300</v>
      </c>
      <c r="H65">
        <f t="shared" si="11"/>
        <v>289.38593600154059</v>
      </c>
      <c r="I65">
        <f t="shared" si="12"/>
        <v>278.81536485305901</v>
      </c>
      <c r="J65">
        <f t="shared" si="13"/>
        <v>268.33129219841896</v>
      </c>
      <c r="K65">
        <f t="shared" si="14"/>
        <v>257.97575507539818</v>
      </c>
      <c r="L65">
        <f t="shared" si="15"/>
        <v>247.78935204382532</v>
      </c>
      <c r="M65">
        <f t="shared" si="16"/>
        <v>237.81079039726501</v>
      </c>
      <c r="N65">
        <f t="shared" si="17"/>
        <v>228.07645576842287</v>
      </c>
      <c r="O65">
        <f t="shared" si="18"/>
        <v>218.62000911967766</v>
      </c>
      <c r="P65">
        <f t="shared" si="19"/>
        <v>209.47201572462325</v>
      </c>
      <c r="Q65">
        <f t="shared" si="20"/>
        <v>200.65961030220853</v>
      </c>
      <c r="R65">
        <f t="shared" si="21"/>
        <v>192.20620197099825</v>
      </c>
      <c r="S65">
        <f t="shared" si="22"/>
        <v>184.13122215695728</v>
      </c>
      <c r="T65">
        <f t="shared" si="23"/>
        <v>176.44991802414307</v>
      </c>
      <c r="U65">
        <f t="shared" si="24"/>
        <v>169.17319341403334</v>
      </c>
      <c r="V65">
        <f t="shared" si="25"/>
        <v>162.30749868603743</v>
      </c>
      <c r="W65">
        <f t="shared" si="26"/>
        <v>155.85477025869551</v>
      </c>
      <c r="X65">
        <f t="shared" si="27"/>
        <v>149.8124200671453</v>
      </c>
      <c r="Y65">
        <f t="shared" si="28"/>
        <v>144.17337458572592</v>
      </c>
      <c r="Z65">
        <f t="shared" si="29"/>
        <v>138.92616252213381</v>
      </c>
      <c r="AA65">
        <f t="shared" si="30"/>
        <v>134.05504977723524</v>
      </c>
      <c r="AB65">
        <f t="shared" si="31"/>
        <v>129.54021978713752</v>
      </c>
      <c r="AC65">
        <f t="shared" si="32"/>
        <v>125.35799692487302</v>
      </c>
      <c r="AD65">
        <f t="shared" si="33"/>
        <v>121.4811102403104</v>
      </c>
      <c r="AE65">
        <f t="shared" si="34"/>
        <v>117.87899445985147</v>
      </c>
      <c r="AF65">
        <f t="shared" si="35"/>
        <v>114.51812485229166</v>
      </c>
      <c r="AG65">
        <f t="shared" si="36"/>
        <v>111.36238229332253</v>
      </c>
      <c r="AH65">
        <f t="shared" si="37"/>
        <v>108.37344462730431</v>
      </c>
      <c r="AI65">
        <f t="shared" si="120"/>
        <v>105.51120022948578</v>
      </c>
      <c r="AJ65">
        <f t="shared" si="103"/>
        <v>102.73417951291933</v>
      </c>
      <c r="AK65">
        <f t="shared" si="39"/>
        <v>100</v>
      </c>
      <c r="AL65" s="16"/>
      <c r="AM65" s="37">
        <v>1.3333333333333334E-2</v>
      </c>
      <c r="AN65" s="6">
        <f t="shared" si="40"/>
        <v>-1076400000</v>
      </c>
      <c r="AO65" s="6">
        <f t="shared" si="104"/>
        <v>-1038136677.9746192</v>
      </c>
      <c r="AP65" s="6">
        <f t="shared" si="41"/>
        <v>-1000031425.3282719</v>
      </c>
      <c r="AQ65" s="6">
        <f t="shared" si="42"/>
        <v>-962240539.30702353</v>
      </c>
      <c r="AR65" s="6">
        <f t="shared" si="43"/>
        <v>-924916794.07193458</v>
      </c>
      <c r="AS65" s="6">
        <f t="shared" si="44"/>
        <v>-888207731.79929316</v>
      </c>
      <c r="AT65" s="6">
        <f t="shared" si="45"/>
        <v>-852254016.09203362</v>
      </c>
      <c r="AU65" s="6">
        <f t="shared" si="46"/>
        <v>-817187867.05949986</v>
      </c>
      <c r="AV65" s="6">
        <f t="shared" si="47"/>
        <v>-783131596.25112367</v>
      </c>
      <c r="AW65" s="6">
        <f t="shared" si="48"/>
        <v>-750196258.21321964</v>
      </c>
      <c r="AX65" s="6">
        <f t="shared" si="49"/>
        <v>-718480433.80673826</v>
      </c>
      <c r="AY65" s="6">
        <f t="shared" si="50"/>
        <v>-688069158.61086071</v>
      </c>
      <c r="AZ65" s="6">
        <f t="shared" si="51"/>
        <v>-659033007.77888417</v>
      </c>
      <c r="BA65" s="6">
        <f t="shared" si="52"/>
        <v>-631427346.6466291</v>
      </c>
      <c r="BB65" s="6">
        <f t="shared" si="53"/>
        <v>-605291754.25760031</v>
      </c>
      <c r="BC65" s="6">
        <f t="shared" si="54"/>
        <v>-580649624.80079472</v>
      </c>
      <c r="BD65" s="6">
        <f t="shared" si="55"/>
        <v>-557507949.79202187</v>
      </c>
      <c r="BE65" s="6">
        <f t="shared" si="56"/>
        <v>-535857281.70097589</v>
      </c>
      <c r="BF65" s="6">
        <f t="shared" si="57"/>
        <v>-515671877.66377974</v>
      </c>
      <c r="BG65" s="6">
        <f t="shared" si="58"/>
        <v>-496910019.95002508</v>
      </c>
      <c r="BH65" s="6">
        <f t="shared" si="59"/>
        <v>-479514507.9958443</v>
      </c>
      <c r="BI65" s="6">
        <f t="shared" si="60"/>
        <v>-463413315.08702022</v>
      </c>
      <c r="BJ65" s="6">
        <f t="shared" si="61"/>
        <v>-448520401.19075871</v>
      </c>
      <c r="BK65" s="6">
        <f t="shared" si="62"/>
        <v>-434736671.99924457</v>
      </c>
      <c r="BL65" s="6">
        <f t="shared" si="63"/>
        <v>-421951072.96614498</v>
      </c>
      <c r="BM65" s="6">
        <f t="shared" si="64"/>
        <v>-410041805.98885721</v>
      </c>
      <c r="BN65" s="6">
        <f t="shared" si="65"/>
        <v>-398877655.41162461</v>
      </c>
      <c r="BO65" s="6">
        <f t="shared" si="66"/>
        <v>-388319409.19242144</v>
      </c>
      <c r="BP65" s="6">
        <f t="shared" si="67"/>
        <v>-378221360.3830114</v>
      </c>
      <c r="BQ65" s="6">
        <f t="shared" si="68"/>
        <v>-368432873.50925553</v>
      </c>
      <c r="BR65" s="6">
        <f t="shared" si="69"/>
        <v>-358800000</v>
      </c>
      <c r="BT65" s="16"/>
      <c r="BU65" s="37">
        <v>1.3333333333333334E-2</v>
      </c>
      <c r="BV65" s="2">
        <v>0</v>
      </c>
      <c r="BW65" s="2">
        <f t="shared" ref="BW65:CY65" si="130">$B$20/($B$21-$B$22*BV65)</f>
        <v>0.34883720930232553</v>
      </c>
      <c r="BX65" s="2">
        <f t="shared" si="130"/>
        <v>0.39716748768472904</v>
      </c>
      <c r="BY65" s="2">
        <f t="shared" si="130"/>
        <v>0.40494040593779607</v>
      </c>
      <c r="BZ65" s="2">
        <f t="shared" si="130"/>
        <v>0.4062190081621499</v>
      </c>
      <c r="CA65" s="2">
        <f t="shared" si="130"/>
        <v>0.40643010492156101</v>
      </c>
      <c r="CB65" s="2">
        <f t="shared" si="130"/>
        <v>0.40646497802255066</v>
      </c>
      <c r="CC65" s="2">
        <f t="shared" si="130"/>
        <v>0.40647073962099717</v>
      </c>
      <c r="CD65" s="2">
        <f t="shared" si="130"/>
        <v>0.40647169154566137</v>
      </c>
      <c r="CE65" s="2">
        <f t="shared" si="130"/>
        <v>0.40647184882198806</v>
      </c>
      <c r="CF65" s="2">
        <f t="shared" si="130"/>
        <v>0.40647187480708435</v>
      </c>
      <c r="CG65" s="2">
        <f t="shared" si="130"/>
        <v>0.40647187910032606</v>
      </c>
      <c r="CH65" s="2">
        <f t="shared" si="130"/>
        <v>0.40647187980965277</v>
      </c>
      <c r="CI65" s="2">
        <f t="shared" si="130"/>
        <v>0.4064718799268473</v>
      </c>
      <c r="CJ65" s="2">
        <f t="shared" si="130"/>
        <v>0.40647187994621015</v>
      </c>
      <c r="CK65" s="2">
        <f t="shared" si="130"/>
        <v>0.40647187994940925</v>
      </c>
      <c r="CL65" s="2">
        <f t="shared" si="130"/>
        <v>0.40647187994993778</v>
      </c>
      <c r="CM65" s="2">
        <f t="shared" si="130"/>
        <v>0.40647187995002515</v>
      </c>
      <c r="CN65" s="2">
        <f t="shared" si="130"/>
        <v>0.40647187995003953</v>
      </c>
      <c r="CO65" s="2">
        <f t="shared" si="130"/>
        <v>0.40647187995004191</v>
      </c>
      <c r="CP65" s="2">
        <f t="shared" si="130"/>
        <v>0.40647187995004236</v>
      </c>
      <c r="CQ65" s="2">
        <f t="shared" si="130"/>
        <v>0.40647187995004236</v>
      </c>
      <c r="CR65" s="2">
        <f t="shared" si="130"/>
        <v>0.40647187995004236</v>
      </c>
      <c r="CS65" s="2">
        <f t="shared" si="130"/>
        <v>0.40647187995004236</v>
      </c>
      <c r="CT65" s="2">
        <f t="shared" si="130"/>
        <v>0.40647187995004236</v>
      </c>
      <c r="CU65" s="2">
        <f t="shared" si="130"/>
        <v>0.40647187995004236</v>
      </c>
      <c r="CV65" s="2">
        <f t="shared" si="130"/>
        <v>0.40647187995004236</v>
      </c>
      <c r="CW65" s="2">
        <f t="shared" si="130"/>
        <v>0.40647187995004236</v>
      </c>
      <c r="CX65" s="2">
        <f t="shared" si="130"/>
        <v>0.40647187995004236</v>
      </c>
      <c r="CY65" s="2">
        <f t="shared" si="130"/>
        <v>0.40647187995004236</v>
      </c>
      <c r="CZ65" s="2">
        <f t="shared" si="71"/>
        <v>100</v>
      </c>
      <c r="DB65" s="16"/>
      <c r="DC65" s="37">
        <v>1.3333333333333334E-2</v>
      </c>
      <c r="DD65" s="2">
        <f t="shared" si="72"/>
        <v>300</v>
      </c>
      <c r="DE65" s="2">
        <f t="shared" si="73"/>
        <v>192.12476221558975</v>
      </c>
      <c r="DF65" s="2">
        <f t="shared" si="74"/>
        <v>172.24289966341601</v>
      </c>
      <c r="DG65" s="2">
        <f t="shared" si="75"/>
        <v>163.86648521607779</v>
      </c>
      <c r="DH65" s="2">
        <f t="shared" si="76"/>
        <v>157.31901025501369</v>
      </c>
      <c r="DI65" s="2">
        <f t="shared" si="77"/>
        <v>151.13588755118553</v>
      </c>
      <c r="DJ65" s="2">
        <f t="shared" si="78"/>
        <v>145.10569881589177</v>
      </c>
      <c r="DK65" s="2">
        <f t="shared" si="79"/>
        <v>139.21381896559836</v>
      </c>
      <c r="DL65" s="2">
        <f t="shared" si="80"/>
        <v>133.47556455661066</v>
      </c>
      <c r="DM65" s="2">
        <f t="shared" si="81"/>
        <v>127.90953294118489</v>
      </c>
      <c r="DN65" s="2">
        <f t="shared" si="82"/>
        <v>122.53319503750778</v>
      </c>
      <c r="DO65" s="2">
        <f t="shared" si="83"/>
        <v>117.36203809982024</v>
      </c>
      <c r="DP65" s="2">
        <f t="shared" si="84"/>
        <v>112.40929228542473</v>
      </c>
      <c r="DQ65" s="2">
        <f t="shared" si="85"/>
        <v>107.68577206391281</v>
      </c>
      <c r="DR65" s="2">
        <f t="shared" si="86"/>
        <v>103.19975929375268</v>
      </c>
      <c r="DS65" s="2">
        <f t="shared" si="87"/>
        <v>98.956917219902181</v>
      </c>
      <c r="DT65" s="2">
        <f t="shared" si="88"/>
        <v>94.960234234153162</v>
      </c>
      <c r="DU65" s="2">
        <f t="shared" si="89"/>
        <v>91.20999746054612</v>
      </c>
      <c r="DV65" s="2">
        <f t="shared" si="90"/>
        <v>87.703796131109456</v>
      </c>
      <c r="DW65" s="2">
        <f t="shared" si="91"/>
        <v>84.43655442238456</v>
      </c>
      <c r="DX65" s="2">
        <f t="shared" si="92"/>
        <v>81.40059311121577</v>
      </c>
      <c r="DY65" s="2">
        <f t="shared" si="93"/>
        <v>78.585719110312766</v>
      </c>
      <c r="DZ65" s="2">
        <f t="shared" si="94"/>
        <v>75.979341667075715</v>
      </c>
      <c r="EA65" s="2">
        <f t="shared" si="95"/>
        <v>73.566613755593949</v>
      </c>
      <c r="EB65" s="2">
        <f t="shared" si="96"/>
        <v>71.330596962786814</v>
      </c>
      <c r="EC65" s="2">
        <f t="shared" si="97"/>
        <v>69.252447965809552</v>
      </c>
      <c r="ED65" s="2">
        <f t="shared" si="98"/>
        <v>67.311624519000333</v>
      </c>
      <c r="EE65" s="2">
        <f t="shared" si="99"/>
        <v>65.48610871423989</v>
      </c>
      <c r="EF65" s="2">
        <f t="shared" si="100"/>
        <v>63.752645147744332</v>
      </c>
      <c r="EG65" s="2">
        <f t="shared" si="101"/>
        <v>62.086991517915088</v>
      </c>
      <c r="EH65" s="2">
        <f t="shared" si="102"/>
        <v>60.464179091732959</v>
      </c>
    </row>
    <row r="66" spans="5:138">
      <c r="E66" s="18"/>
      <c r="F66" s="37">
        <v>0.01</v>
      </c>
      <c r="G66">
        <f t="shared" si="10"/>
        <v>300</v>
      </c>
      <c r="H66">
        <f t="shared" si="11"/>
        <v>289.38593600154059</v>
      </c>
      <c r="I66">
        <f t="shared" si="12"/>
        <v>278.81536485305901</v>
      </c>
      <c r="J66">
        <f t="shared" si="13"/>
        <v>268.33129219841896</v>
      </c>
      <c r="K66">
        <f t="shared" si="14"/>
        <v>257.97575507539813</v>
      </c>
      <c r="L66">
        <f t="shared" si="15"/>
        <v>247.78935204382526</v>
      </c>
      <c r="M66">
        <f t="shared" si="16"/>
        <v>237.81079039726495</v>
      </c>
      <c r="N66">
        <f t="shared" si="17"/>
        <v>228.07645576842282</v>
      </c>
      <c r="O66">
        <f t="shared" si="18"/>
        <v>218.6200091196776</v>
      </c>
      <c r="P66">
        <f t="shared" si="19"/>
        <v>209.47201572462319</v>
      </c>
      <c r="Q66">
        <f t="shared" si="20"/>
        <v>200.65961030220851</v>
      </c>
      <c r="R66">
        <f t="shared" si="21"/>
        <v>192.20620197099822</v>
      </c>
      <c r="S66">
        <f t="shared" si="22"/>
        <v>184.13122215695728</v>
      </c>
      <c r="T66">
        <f t="shared" si="23"/>
        <v>176.44991802414307</v>
      </c>
      <c r="U66">
        <f t="shared" si="24"/>
        <v>169.17319341403331</v>
      </c>
      <c r="V66">
        <f t="shared" si="25"/>
        <v>162.30749868603741</v>
      </c>
      <c r="W66">
        <f t="shared" si="26"/>
        <v>155.85477025869548</v>
      </c>
      <c r="X66">
        <f t="shared" si="27"/>
        <v>149.8124200671453</v>
      </c>
      <c r="Y66">
        <f t="shared" si="28"/>
        <v>144.17337458572592</v>
      </c>
      <c r="Z66">
        <f t="shared" si="29"/>
        <v>138.92616252213381</v>
      </c>
      <c r="AA66">
        <f t="shared" si="30"/>
        <v>134.05504977723521</v>
      </c>
      <c r="AB66">
        <f t="shared" si="31"/>
        <v>129.54021978713752</v>
      </c>
      <c r="AC66">
        <f t="shared" si="32"/>
        <v>125.35799692487298</v>
      </c>
      <c r="AD66">
        <f t="shared" si="33"/>
        <v>121.48111024031036</v>
      </c>
      <c r="AE66">
        <f t="shared" si="34"/>
        <v>117.87899445985144</v>
      </c>
      <c r="AF66">
        <f t="shared" si="35"/>
        <v>114.51812485229163</v>
      </c>
      <c r="AG66">
        <f t="shared" si="36"/>
        <v>111.3623822933225</v>
      </c>
      <c r="AH66">
        <f t="shared" si="37"/>
        <v>108.37344462730429</v>
      </c>
      <c r="AI66">
        <f t="shared" si="120"/>
        <v>105.51120022948577</v>
      </c>
      <c r="AJ66">
        <f t="shared" si="103"/>
        <v>102.73417951291933</v>
      </c>
      <c r="AK66">
        <f t="shared" si="39"/>
        <v>100</v>
      </c>
      <c r="AL66" s="16"/>
      <c r="AM66" s="37">
        <v>0.01</v>
      </c>
      <c r="AN66" s="6">
        <f t="shared" si="40"/>
        <v>-1076400000</v>
      </c>
      <c r="AO66" s="6">
        <f t="shared" si="104"/>
        <v>-1038136677.9746189</v>
      </c>
      <c r="AP66" s="6">
        <f t="shared" si="41"/>
        <v>-1000031425.3282719</v>
      </c>
      <c r="AQ66" s="6">
        <f t="shared" si="42"/>
        <v>-962240539.30702329</v>
      </c>
      <c r="AR66" s="6">
        <f t="shared" si="43"/>
        <v>-924916794.0719341</v>
      </c>
      <c r="AS66" s="6">
        <f t="shared" si="44"/>
        <v>-888207731.79929292</v>
      </c>
      <c r="AT66" s="6">
        <f t="shared" si="45"/>
        <v>-852254016.09203327</v>
      </c>
      <c r="AU66" s="6">
        <f t="shared" si="46"/>
        <v>-817187867.05949974</v>
      </c>
      <c r="AV66" s="6">
        <f t="shared" si="47"/>
        <v>-783131596.25112343</v>
      </c>
      <c r="AW66" s="6">
        <f t="shared" si="48"/>
        <v>-750196258.2132194</v>
      </c>
      <c r="AX66" s="6">
        <f t="shared" si="49"/>
        <v>-718480433.80673802</v>
      </c>
      <c r="AY66" s="6">
        <f t="shared" si="50"/>
        <v>-688069158.61086059</v>
      </c>
      <c r="AZ66" s="6">
        <f t="shared" si="51"/>
        <v>-659033007.77888405</v>
      </c>
      <c r="BA66" s="6">
        <f t="shared" si="52"/>
        <v>-631427346.64662886</v>
      </c>
      <c r="BB66" s="6">
        <f t="shared" si="53"/>
        <v>-605291754.25760019</v>
      </c>
      <c r="BC66" s="6">
        <f t="shared" si="54"/>
        <v>-580649624.80079472</v>
      </c>
      <c r="BD66" s="6">
        <f t="shared" si="55"/>
        <v>-557507949.79202175</v>
      </c>
      <c r="BE66" s="6">
        <f t="shared" si="56"/>
        <v>-535857281.70097578</v>
      </c>
      <c r="BF66" s="6">
        <f t="shared" si="57"/>
        <v>-515671877.66377962</v>
      </c>
      <c r="BG66" s="6">
        <f t="shared" si="58"/>
        <v>-496910019.95002496</v>
      </c>
      <c r="BH66" s="6">
        <f t="shared" si="59"/>
        <v>-479514507.99584407</v>
      </c>
      <c r="BI66" s="6">
        <f t="shared" si="60"/>
        <v>-463413315.08702016</v>
      </c>
      <c r="BJ66" s="6">
        <f t="shared" si="61"/>
        <v>-448520401.19075853</v>
      </c>
      <c r="BK66" s="6">
        <f t="shared" si="62"/>
        <v>-434736671.99924451</v>
      </c>
      <c r="BL66" s="6">
        <f t="shared" si="63"/>
        <v>-421951072.96614474</v>
      </c>
      <c r="BM66" s="6">
        <f t="shared" si="64"/>
        <v>-410041805.98885703</v>
      </c>
      <c r="BN66" s="6">
        <f t="shared" si="65"/>
        <v>-398877655.41162449</v>
      </c>
      <c r="BO66" s="6">
        <f t="shared" si="66"/>
        <v>-388319409.19242132</v>
      </c>
      <c r="BP66" s="6">
        <f t="shared" si="67"/>
        <v>-378221360.38301134</v>
      </c>
      <c r="BQ66" s="6">
        <f t="shared" si="68"/>
        <v>-368432873.50925547</v>
      </c>
      <c r="BR66" s="6">
        <f t="shared" si="69"/>
        <v>-358800000</v>
      </c>
      <c r="BT66" s="16"/>
      <c r="BU66" s="37">
        <v>0.01</v>
      </c>
      <c r="BV66" s="2">
        <v>0</v>
      </c>
      <c r="BW66" s="2">
        <f t="shared" ref="BW66:CY66" si="131">$B$20/($B$21-$B$22*BV66)</f>
        <v>0.34883720930232553</v>
      </c>
      <c r="BX66" s="2">
        <f t="shared" si="131"/>
        <v>0.39716748768472904</v>
      </c>
      <c r="BY66" s="2">
        <f t="shared" si="131"/>
        <v>0.40494040593779607</v>
      </c>
      <c r="BZ66" s="2">
        <f t="shared" si="131"/>
        <v>0.4062190081621499</v>
      </c>
      <c r="CA66" s="2">
        <f t="shared" si="131"/>
        <v>0.40643010492156101</v>
      </c>
      <c r="CB66" s="2">
        <f t="shared" si="131"/>
        <v>0.40646497802255066</v>
      </c>
      <c r="CC66" s="2">
        <f t="shared" si="131"/>
        <v>0.40647073962099717</v>
      </c>
      <c r="CD66" s="2">
        <f t="shared" si="131"/>
        <v>0.40647169154566137</v>
      </c>
      <c r="CE66" s="2">
        <f t="shared" si="131"/>
        <v>0.40647184882198806</v>
      </c>
      <c r="CF66" s="2">
        <f t="shared" si="131"/>
        <v>0.40647187480708435</v>
      </c>
      <c r="CG66" s="2">
        <f t="shared" si="131"/>
        <v>0.40647187910032606</v>
      </c>
      <c r="CH66" s="2">
        <f t="shared" si="131"/>
        <v>0.40647187980965277</v>
      </c>
      <c r="CI66" s="2">
        <f t="shared" si="131"/>
        <v>0.4064718799268473</v>
      </c>
      <c r="CJ66" s="2">
        <f t="shared" si="131"/>
        <v>0.40647187994621015</v>
      </c>
      <c r="CK66" s="2">
        <f t="shared" si="131"/>
        <v>0.40647187994940925</v>
      </c>
      <c r="CL66" s="2">
        <f t="shared" si="131"/>
        <v>0.40647187994993778</v>
      </c>
      <c r="CM66" s="2">
        <f t="shared" si="131"/>
        <v>0.40647187995002515</v>
      </c>
      <c r="CN66" s="2">
        <f t="shared" si="131"/>
        <v>0.40647187995003953</v>
      </c>
      <c r="CO66" s="2">
        <f t="shared" si="131"/>
        <v>0.40647187995004191</v>
      </c>
      <c r="CP66" s="2">
        <f t="shared" si="131"/>
        <v>0.40647187995004236</v>
      </c>
      <c r="CQ66" s="2">
        <f t="shared" si="131"/>
        <v>0.40647187995004236</v>
      </c>
      <c r="CR66" s="2">
        <f t="shared" si="131"/>
        <v>0.40647187995004236</v>
      </c>
      <c r="CS66" s="2">
        <f t="shared" si="131"/>
        <v>0.40647187995004236</v>
      </c>
      <c r="CT66" s="2">
        <f t="shared" si="131"/>
        <v>0.40647187995004236</v>
      </c>
      <c r="CU66" s="2">
        <f t="shared" si="131"/>
        <v>0.40647187995004236</v>
      </c>
      <c r="CV66" s="2">
        <f t="shared" si="131"/>
        <v>0.40647187995004236</v>
      </c>
      <c r="CW66" s="2">
        <f t="shared" si="131"/>
        <v>0.40647187995004236</v>
      </c>
      <c r="CX66" s="2">
        <f t="shared" si="131"/>
        <v>0.40647187995004236</v>
      </c>
      <c r="CY66" s="2">
        <f t="shared" si="131"/>
        <v>0.40647187995004236</v>
      </c>
      <c r="CZ66" s="2">
        <f t="shared" si="71"/>
        <v>100</v>
      </c>
      <c r="DB66" s="16"/>
      <c r="DC66" s="37">
        <v>0.01</v>
      </c>
      <c r="DD66" s="2">
        <f t="shared" si="72"/>
        <v>300</v>
      </c>
      <c r="DE66" s="2">
        <f t="shared" si="73"/>
        <v>192.12476221558975</v>
      </c>
      <c r="DF66" s="2">
        <f t="shared" si="74"/>
        <v>172.24289966341601</v>
      </c>
      <c r="DG66" s="2">
        <f t="shared" si="75"/>
        <v>163.86648521607776</v>
      </c>
      <c r="DH66" s="2">
        <f t="shared" si="76"/>
        <v>157.31901025501364</v>
      </c>
      <c r="DI66" s="2">
        <f t="shared" si="77"/>
        <v>151.1358875511855</v>
      </c>
      <c r="DJ66" s="2">
        <f t="shared" si="78"/>
        <v>145.10569881589174</v>
      </c>
      <c r="DK66" s="2">
        <f t="shared" si="79"/>
        <v>139.21381896559834</v>
      </c>
      <c r="DL66" s="2">
        <f t="shared" si="80"/>
        <v>133.47556455661064</v>
      </c>
      <c r="DM66" s="2">
        <f t="shared" si="81"/>
        <v>127.90953294118485</v>
      </c>
      <c r="DN66" s="2">
        <f t="shared" si="82"/>
        <v>122.53319503750775</v>
      </c>
      <c r="DO66" s="2">
        <f t="shared" si="83"/>
        <v>117.36203809982023</v>
      </c>
      <c r="DP66" s="2">
        <f t="shared" si="84"/>
        <v>112.40929228542473</v>
      </c>
      <c r="DQ66" s="2">
        <f t="shared" si="85"/>
        <v>107.68577206391281</v>
      </c>
      <c r="DR66" s="2">
        <f t="shared" si="86"/>
        <v>103.19975929375265</v>
      </c>
      <c r="DS66" s="2">
        <f t="shared" si="87"/>
        <v>98.956917219902166</v>
      </c>
      <c r="DT66" s="2">
        <f t="shared" si="88"/>
        <v>94.960234234153148</v>
      </c>
      <c r="DU66" s="2">
        <f t="shared" si="89"/>
        <v>91.209997460546106</v>
      </c>
      <c r="DV66" s="2">
        <f t="shared" si="90"/>
        <v>87.703796131109456</v>
      </c>
      <c r="DW66" s="2">
        <f t="shared" si="91"/>
        <v>84.43655442238456</v>
      </c>
      <c r="DX66" s="2">
        <f t="shared" si="92"/>
        <v>81.400593111215741</v>
      </c>
      <c r="DY66" s="2">
        <f t="shared" si="93"/>
        <v>78.585719110312752</v>
      </c>
      <c r="DZ66" s="2">
        <f t="shared" si="94"/>
        <v>75.979341667075687</v>
      </c>
      <c r="EA66" s="2">
        <f t="shared" si="95"/>
        <v>73.56661375559392</v>
      </c>
      <c r="EB66" s="2">
        <f t="shared" si="96"/>
        <v>71.3305969627868</v>
      </c>
      <c r="EC66" s="2">
        <f t="shared" si="97"/>
        <v>69.252447965809523</v>
      </c>
      <c r="ED66" s="2">
        <f t="shared" si="98"/>
        <v>67.311624519000304</v>
      </c>
      <c r="EE66" s="2">
        <f t="shared" si="99"/>
        <v>65.486108714239876</v>
      </c>
      <c r="EF66" s="2">
        <f t="shared" si="100"/>
        <v>63.752645147744317</v>
      </c>
      <c r="EG66" s="2">
        <f t="shared" si="101"/>
        <v>62.086991517915081</v>
      </c>
      <c r="EH66" s="2">
        <f t="shared" si="102"/>
        <v>60.464179091732959</v>
      </c>
    </row>
    <row r="67" spans="5:138">
      <c r="E67" s="18"/>
      <c r="F67" s="37">
        <v>6.6666666666666671E-3</v>
      </c>
      <c r="G67">
        <f t="shared" si="10"/>
        <v>300</v>
      </c>
      <c r="H67">
        <f t="shared" si="11"/>
        <v>289.38593600154053</v>
      </c>
      <c r="I67">
        <f t="shared" si="12"/>
        <v>278.81536485305895</v>
      </c>
      <c r="J67">
        <f t="shared" si="13"/>
        <v>268.33129219841885</v>
      </c>
      <c r="K67">
        <f t="shared" si="14"/>
        <v>257.97575507539807</v>
      </c>
      <c r="L67">
        <f t="shared" si="15"/>
        <v>247.7893520438252</v>
      </c>
      <c r="M67">
        <f t="shared" si="16"/>
        <v>237.8107903972649</v>
      </c>
      <c r="N67">
        <f t="shared" si="17"/>
        <v>228.07645576842276</v>
      </c>
      <c r="O67">
        <f t="shared" si="18"/>
        <v>218.62000911967755</v>
      </c>
      <c r="P67">
        <f t="shared" si="19"/>
        <v>209.47201572462313</v>
      </c>
      <c r="Q67">
        <f t="shared" si="20"/>
        <v>200.65961030220848</v>
      </c>
      <c r="R67">
        <f t="shared" si="21"/>
        <v>192.20620197099819</v>
      </c>
      <c r="S67">
        <f t="shared" si="22"/>
        <v>184.13122215695722</v>
      </c>
      <c r="T67">
        <f t="shared" si="23"/>
        <v>176.44991802414302</v>
      </c>
      <c r="U67">
        <f t="shared" si="24"/>
        <v>169.17319341403328</v>
      </c>
      <c r="V67">
        <f t="shared" si="25"/>
        <v>162.30749868603738</v>
      </c>
      <c r="W67">
        <f t="shared" si="26"/>
        <v>155.85477025869545</v>
      </c>
      <c r="X67">
        <f t="shared" si="27"/>
        <v>149.81242006714527</v>
      </c>
      <c r="Y67">
        <f t="shared" si="28"/>
        <v>144.17337458572587</v>
      </c>
      <c r="Z67">
        <f t="shared" si="29"/>
        <v>138.92616252213378</v>
      </c>
      <c r="AA67">
        <f t="shared" si="30"/>
        <v>134.05504977723518</v>
      </c>
      <c r="AB67">
        <f t="shared" si="31"/>
        <v>129.54021978713749</v>
      </c>
      <c r="AC67">
        <f t="shared" si="32"/>
        <v>125.35799692487296</v>
      </c>
      <c r="AD67">
        <f t="shared" si="33"/>
        <v>121.48111024031033</v>
      </c>
      <c r="AE67">
        <f t="shared" si="34"/>
        <v>117.87899445985141</v>
      </c>
      <c r="AF67">
        <f t="shared" si="35"/>
        <v>114.51812485229161</v>
      </c>
      <c r="AG67">
        <f t="shared" si="36"/>
        <v>111.36238229332248</v>
      </c>
      <c r="AH67">
        <f t="shared" si="37"/>
        <v>108.37344462730429</v>
      </c>
      <c r="AI67">
        <f t="shared" si="120"/>
        <v>105.51120022948577</v>
      </c>
      <c r="AJ67">
        <f t="shared" si="103"/>
        <v>102.73417951291933</v>
      </c>
      <c r="AK67">
        <f t="shared" si="39"/>
        <v>100</v>
      </c>
      <c r="AL67" s="16"/>
      <c r="AM67" s="37">
        <v>6.6666666666666671E-3</v>
      </c>
      <c r="AN67" s="6">
        <f t="shared" si="40"/>
        <v>-1076400000</v>
      </c>
      <c r="AO67" s="6">
        <f t="shared" si="104"/>
        <v>-1038136677.9746188</v>
      </c>
      <c r="AP67" s="6">
        <f t="shared" si="41"/>
        <v>-1000031425.3282717</v>
      </c>
      <c r="AQ67" s="6">
        <f t="shared" si="42"/>
        <v>-962240539.30702317</v>
      </c>
      <c r="AR67" s="6">
        <f t="shared" si="43"/>
        <v>-924916794.07193398</v>
      </c>
      <c r="AS67" s="6">
        <f t="shared" si="44"/>
        <v>-888207731.7992928</v>
      </c>
      <c r="AT67" s="6">
        <f t="shared" si="45"/>
        <v>-852254016.09203303</v>
      </c>
      <c r="AU67" s="6">
        <f t="shared" si="46"/>
        <v>-817187867.05949962</v>
      </c>
      <c r="AV67" s="6">
        <f t="shared" si="47"/>
        <v>-783131596.25112343</v>
      </c>
      <c r="AW67" s="6">
        <f t="shared" si="48"/>
        <v>-750196258.21321917</v>
      </c>
      <c r="AX67" s="6">
        <f t="shared" si="49"/>
        <v>-718480433.8067379</v>
      </c>
      <c r="AY67" s="6">
        <f t="shared" si="50"/>
        <v>-688069158.61086047</v>
      </c>
      <c r="AZ67" s="6">
        <f t="shared" si="51"/>
        <v>-659033007.77888393</v>
      </c>
      <c r="BA67" s="6">
        <f t="shared" si="52"/>
        <v>-631427346.64662874</v>
      </c>
      <c r="BB67" s="6">
        <f t="shared" si="53"/>
        <v>-605291754.25760019</v>
      </c>
      <c r="BC67" s="6">
        <f t="shared" si="54"/>
        <v>-580649624.80079472</v>
      </c>
      <c r="BD67" s="6">
        <f t="shared" si="55"/>
        <v>-557507949.79202163</v>
      </c>
      <c r="BE67" s="6">
        <f t="shared" si="56"/>
        <v>-535857281.70097572</v>
      </c>
      <c r="BF67" s="6">
        <f t="shared" si="57"/>
        <v>-515671877.66377956</v>
      </c>
      <c r="BG67" s="6">
        <f t="shared" si="58"/>
        <v>-496910019.9500249</v>
      </c>
      <c r="BH67" s="6">
        <f t="shared" si="59"/>
        <v>-479514507.99584407</v>
      </c>
      <c r="BI67" s="6">
        <f t="shared" si="60"/>
        <v>-463413315.08702004</v>
      </c>
      <c r="BJ67" s="6">
        <f t="shared" si="61"/>
        <v>-448520401.19075841</v>
      </c>
      <c r="BK67" s="6">
        <f t="shared" si="62"/>
        <v>-434736671.99924439</v>
      </c>
      <c r="BL67" s="6">
        <f t="shared" si="63"/>
        <v>-421951072.96614468</v>
      </c>
      <c r="BM67" s="6">
        <f t="shared" si="64"/>
        <v>-410041805.98885697</v>
      </c>
      <c r="BN67" s="6">
        <f t="shared" si="65"/>
        <v>-398877655.41162437</v>
      </c>
      <c r="BO67" s="6">
        <f t="shared" si="66"/>
        <v>-388319409.19242132</v>
      </c>
      <c r="BP67" s="6">
        <f t="shared" si="67"/>
        <v>-378221360.38301134</v>
      </c>
      <c r="BQ67" s="6">
        <f t="shared" si="68"/>
        <v>-368432873.50925547</v>
      </c>
      <c r="BR67" s="6">
        <f t="shared" si="69"/>
        <v>-358800000</v>
      </c>
      <c r="BT67" s="16"/>
      <c r="BU67" s="37">
        <v>6.6666666666666671E-3</v>
      </c>
      <c r="BV67" s="2">
        <v>0</v>
      </c>
      <c r="BW67" s="2">
        <f t="shared" ref="BW67:CY67" si="132">$B$20/($B$21-$B$22*BV67)</f>
        <v>0.34883720930232553</v>
      </c>
      <c r="BX67" s="2">
        <f t="shared" si="132"/>
        <v>0.39716748768472904</v>
      </c>
      <c r="BY67" s="2">
        <f t="shared" si="132"/>
        <v>0.40494040593779607</v>
      </c>
      <c r="BZ67" s="2">
        <f t="shared" si="132"/>
        <v>0.4062190081621499</v>
      </c>
      <c r="CA67" s="2">
        <f t="shared" si="132"/>
        <v>0.40643010492156101</v>
      </c>
      <c r="CB67" s="2">
        <f t="shared" si="132"/>
        <v>0.40646497802255066</v>
      </c>
      <c r="CC67" s="2">
        <f t="shared" si="132"/>
        <v>0.40647073962099717</v>
      </c>
      <c r="CD67" s="2">
        <f t="shared" si="132"/>
        <v>0.40647169154566137</v>
      </c>
      <c r="CE67" s="2">
        <f t="shared" si="132"/>
        <v>0.40647184882198806</v>
      </c>
      <c r="CF67" s="2">
        <f t="shared" si="132"/>
        <v>0.40647187480708435</v>
      </c>
      <c r="CG67" s="2">
        <f t="shared" si="132"/>
        <v>0.40647187910032606</v>
      </c>
      <c r="CH67" s="2">
        <f t="shared" si="132"/>
        <v>0.40647187980965277</v>
      </c>
      <c r="CI67" s="2">
        <f t="shared" si="132"/>
        <v>0.4064718799268473</v>
      </c>
      <c r="CJ67" s="2">
        <f t="shared" si="132"/>
        <v>0.40647187994621015</v>
      </c>
      <c r="CK67" s="2">
        <f t="shared" si="132"/>
        <v>0.40647187994940925</v>
      </c>
      <c r="CL67" s="2">
        <f t="shared" si="132"/>
        <v>0.40647187994993778</v>
      </c>
      <c r="CM67" s="2">
        <f t="shared" si="132"/>
        <v>0.40647187995002515</v>
      </c>
      <c r="CN67" s="2">
        <f t="shared" si="132"/>
        <v>0.40647187995003953</v>
      </c>
      <c r="CO67" s="2">
        <f t="shared" si="132"/>
        <v>0.40647187995004191</v>
      </c>
      <c r="CP67" s="2">
        <f t="shared" si="132"/>
        <v>0.40647187995004236</v>
      </c>
      <c r="CQ67" s="2">
        <f t="shared" si="132"/>
        <v>0.40647187995004236</v>
      </c>
      <c r="CR67" s="2">
        <f t="shared" si="132"/>
        <v>0.40647187995004236</v>
      </c>
      <c r="CS67" s="2">
        <f t="shared" si="132"/>
        <v>0.40647187995004236</v>
      </c>
      <c r="CT67" s="2">
        <f t="shared" si="132"/>
        <v>0.40647187995004236</v>
      </c>
      <c r="CU67" s="2">
        <f t="shared" si="132"/>
        <v>0.40647187995004236</v>
      </c>
      <c r="CV67" s="2">
        <f t="shared" si="132"/>
        <v>0.40647187995004236</v>
      </c>
      <c r="CW67" s="2">
        <f t="shared" si="132"/>
        <v>0.40647187995004236</v>
      </c>
      <c r="CX67" s="2">
        <f t="shared" si="132"/>
        <v>0.40647187995004236</v>
      </c>
      <c r="CY67" s="2">
        <f t="shared" si="132"/>
        <v>0.40647187995004236</v>
      </c>
      <c r="CZ67" s="2">
        <f t="shared" si="71"/>
        <v>100</v>
      </c>
      <c r="DB67" s="16"/>
      <c r="DC67" s="37">
        <v>6.6666666666666671E-3</v>
      </c>
      <c r="DD67" s="2">
        <f t="shared" si="72"/>
        <v>300</v>
      </c>
      <c r="DE67" s="2">
        <f t="shared" si="73"/>
        <v>192.12476221558973</v>
      </c>
      <c r="DF67" s="2">
        <f t="shared" si="74"/>
        <v>172.24289966341601</v>
      </c>
      <c r="DG67" s="2">
        <f t="shared" si="75"/>
        <v>163.86648521607773</v>
      </c>
      <c r="DH67" s="2">
        <f t="shared" si="76"/>
        <v>157.31901025501361</v>
      </c>
      <c r="DI67" s="2">
        <f t="shared" si="77"/>
        <v>151.13588755118548</v>
      </c>
      <c r="DJ67" s="2">
        <f t="shared" si="78"/>
        <v>145.10569881589169</v>
      </c>
      <c r="DK67" s="2">
        <f t="shared" si="79"/>
        <v>139.21381896559828</v>
      </c>
      <c r="DL67" s="2">
        <f t="shared" si="80"/>
        <v>133.47556455661061</v>
      </c>
      <c r="DM67" s="2">
        <f t="shared" si="81"/>
        <v>127.90953294118482</v>
      </c>
      <c r="DN67" s="2">
        <f t="shared" si="82"/>
        <v>122.53319503750771</v>
      </c>
      <c r="DO67" s="2">
        <f t="shared" si="83"/>
        <v>117.3620380998202</v>
      </c>
      <c r="DP67" s="2">
        <f t="shared" si="84"/>
        <v>112.40929228542467</v>
      </c>
      <c r="DQ67" s="2">
        <f t="shared" si="85"/>
        <v>107.68577206391276</v>
      </c>
      <c r="DR67" s="2">
        <f t="shared" si="86"/>
        <v>103.19975929375263</v>
      </c>
      <c r="DS67" s="2">
        <f t="shared" si="87"/>
        <v>98.956917219902166</v>
      </c>
      <c r="DT67" s="2">
        <f t="shared" si="88"/>
        <v>94.960234234153134</v>
      </c>
      <c r="DU67" s="2">
        <f t="shared" si="89"/>
        <v>91.209997460546091</v>
      </c>
      <c r="DV67" s="2">
        <f t="shared" si="90"/>
        <v>87.703796131109428</v>
      </c>
      <c r="DW67" s="2">
        <f t="shared" si="91"/>
        <v>84.436554422384546</v>
      </c>
      <c r="DX67" s="2">
        <f t="shared" si="92"/>
        <v>81.400593111215741</v>
      </c>
      <c r="DY67" s="2">
        <f t="shared" si="93"/>
        <v>78.585719110312738</v>
      </c>
      <c r="DZ67" s="2">
        <f t="shared" si="94"/>
        <v>75.979341667075673</v>
      </c>
      <c r="EA67" s="2">
        <f t="shared" si="95"/>
        <v>73.566613755593906</v>
      </c>
      <c r="EB67" s="2">
        <f t="shared" si="96"/>
        <v>71.330596962786771</v>
      </c>
      <c r="EC67" s="2">
        <f t="shared" si="97"/>
        <v>69.252447965809509</v>
      </c>
      <c r="ED67" s="2">
        <f t="shared" si="98"/>
        <v>67.31162451900029</v>
      </c>
      <c r="EE67" s="2">
        <f t="shared" si="99"/>
        <v>65.486108714239876</v>
      </c>
      <c r="EF67" s="2">
        <f t="shared" si="100"/>
        <v>63.752645147744317</v>
      </c>
      <c r="EG67" s="2">
        <f t="shared" si="101"/>
        <v>62.086991517915081</v>
      </c>
      <c r="EH67" s="2">
        <f t="shared" si="102"/>
        <v>60.464179091732959</v>
      </c>
    </row>
    <row r="68" spans="5:138">
      <c r="E68" s="18"/>
      <c r="F68" s="37">
        <v>3.3333333333333335E-3</v>
      </c>
      <c r="G68">
        <f t="shared" si="10"/>
        <v>300</v>
      </c>
      <c r="H68">
        <f t="shared" si="11"/>
        <v>289.38593600154053</v>
      </c>
      <c r="I68">
        <f t="shared" si="12"/>
        <v>278.81536485305895</v>
      </c>
      <c r="J68">
        <f t="shared" si="13"/>
        <v>268.33129219841885</v>
      </c>
      <c r="K68">
        <f t="shared" si="14"/>
        <v>257.97575507539807</v>
      </c>
      <c r="L68">
        <f t="shared" si="15"/>
        <v>247.78935204382523</v>
      </c>
      <c r="M68">
        <f t="shared" si="16"/>
        <v>237.8107903972649</v>
      </c>
      <c r="N68">
        <f t="shared" si="17"/>
        <v>228.07645576842276</v>
      </c>
      <c r="O68">
        <f t="shared" si="18"/>
        <v>218.62000911967755</v>
      </c>
      <c r="P68">
        <f t="shared" si="19"/>
        <v>209.47201572462313</v>
      </c>
      <c r="Q68">
        <f t="shared" si="20"/>
        <v>200.65961030220848</v>
      </c>
      <c r="R68">
        <f t="shared" si="21"/>
        <v>192.20620197099819</v>
      </c>
      <c r="S68">
        <f t="shared" si="22"/>
        <v>184.13122215695722</v>
      </c>
      <c r="T68">
        <f t="shared" si="23"/>
        <v>176.44991802414302</v>
      </c>
      <c r="U68">
        <f t="shared" si="24"/>
        <v>169.17319341403328</v>
      </c>
      <c r="V68">
        <f t="shared" si="25"/>
        <v>162.30749868603738</v>
      </c>
      <c r="W68">
        <f t="shared" si="26"/>
        <v>155.85477025869545</v>
      </c>
      <c r="X68">
        <f t="shared" si="27"/>
        <v>149.81242006714527</v>
      </c>
      <c r="Y68">
        <f t="shared" si="28"/>
        <v>144.17337458572587</v>
      </c>
      <c r="Z68">
        <f t="shared" si="29"/>
        <v>138.92616252213378</v>
      </c>
      <c r="AA68">
        <f t="shared" si="30"/>
        <v>134.05504977723518</v>
      </c>
      <c r="AB68">
        <f t="shared" si="31"/>
        <v>129.54021978713749</v>
      </c>
      <c r="AC68">
        <f t="shared" si="32"/>
        <v>125.35799692487296</v>
      </c>
      <c r="AD68">
        <f t="shared" si="33"/>
        <v>121.48111024031033</v>
      </c>
      <c r="AE68">
        <f t="shared" si="34"/>
        <v>117.87899445985141</v>
      </c>
      <c r="AF68">
        <f t="shared" si="35"/>
        <v>114.51812485229161</v>
      </c>
      <c r="AG68">
        <f t="shared" si="36"/>
        <v>111.36238229332248</v>
      </c>
      <c r="AH68">
        <f t="shared" si="37"/>
        <v>108.37344462730429</v>
      </c>
      <c r="AI68">
        <f t="shared" si="120"/>
        <v>105.51120022948577</v>
      </c>
      <c r="AJ68">
        <f t="shared" si="103"/>
        <v>102.73417951291933</v>
      </c>
      <c r="AK68">
        <f t="shared" si="39"/>
        <v>100</v>
      </c>
      <c r="AL68" s="16"/>
      <c r="AM68" s="37">
        <v>3.3333333333333335E-3</v>
      </c>
      <c r="AN68" s="6">
        <f t="shared" si="40"/>
        <v>-1076400000</v>
      </c>
      <c r="AO68" s="6">
        <f t="shared" si="104"/>
        <v>-1038136677.9746188</v>
      </c>
      <c r="AP68" s="6">
        <f t="shared" si="41"/>
        <v>-1000031425.3282717</v>
      </c>
      <c r="AQ68" s="6">
        <f t="shared" si="42"/>
        <v>-962240539.30702317</v>
      </c>
      <c r="AR68" s="6">
        <f t="shared" si="43"/>
        <v>-924916794.07193398</v>
      </c>
      <c r="AS68" s="6">
        <f t="shared" si="44"/>
        <v>-888207731.79929292</v>
      </c>
      <c r="AT68" s="6">
        <f t="shared" si="45"/>
        <v>-852254016.09203303</v>
      </c>
      <c r="AU68" s="6">
        <f t="shared" si="46"/>
        <v>-817187867.05949962</v>
      </c>
      <c r="AV68" s="6">
        <f t="shared" si="47"/>
        <v>-783131596.25112343</v>
      </c>
      <c r="AW68" s="6">
        <f t="shared" si="48"/>
        <v>-750196258.21321905</v>
      </c>
      <c r="AX68" s="6">
        <f t="shared" si="49"/>
        <v>-718480433.8067379</v>
      </c>
      <c r="AY68" s="6">
        <f t="shared" si="50"/>
        <v>-688069158.61086047</v>
      </c>
      <c r="AZ68" s="6">
        <f t="shared" si="51"/>
        <v>-659033007.77888405</v>
      </c>
      <c r="BA68" s="6">
        <f t="shared" si="52"/>
        <v>-631427346.64662886</v>
      </c>
      <c r="BB68" s="6">
        <f t="shared" si="53"/>
        <v>-605291754.25760019</v>
      </c>
      <c r="BC68" s="6">
        <f t="shared" si="54"/>
        <v>-580649624.80079472</v>
      </c>
      <c r="BD68" s="6">
        <f t="shared" si="55"/>
        <v>-557507949.79202163</v>
      </c>
      <c r="BE68" s="6">
        <f t="shared" si="56"/>
        <v>-535857281.70097578</v>
      </c>
      <c r="BF68" s="6">
        <f t="shared" si="57"/>
        <v>-515671877.66377944</v>
      </c>
      <c r="BG68" s="6">
        <f t="shared" si="58"/>
        <v>-496910019.9500249</v>
      </c>
      <c r="BH68" s="6">
        <f t="shared" si="59"/>
        <v>-479514507.99584407</v>
      </c>
      <c r="BI68" s="6">
        <f t="shared" si="60"/>
        <v>-463413315.08702004</v>
      </c>
      <c r="BJ68" s="6">
        <f t="shared" si="61"/>
        <v>-448520401.19075847</v>
      </c>
      <c r="BK68" s="6">
        <f t="shared" si="62"/>
        <v>-434736671.99924439</v>
      </c>
      <c r="BL68" s="6">
        <f t="shared" si="63"/>
        <v>-421951072.96614474</v>
      </c>
      <c r="BM68" s="6">
        <f t="shared" si="64"/>
        <v>-410041805.98885697</v>
      </c>
      <c r="BN68" s="6">
        <f t="shared" si="65"/>
        <v>-398877655.41162443</v>
      </c>
      <c r="BO68" s="6">
        <f t="shared" si="66"/>
        <v>-388319409.19242132</v>
      </c>
      <c r="BP68" s="6">
        <f t="shared" si="67"/>
        <v>-378221360.38301134</v>
      </c>
      <c r="BQ68" s="6">
        <f t="shared" si="68"/>
        <v>-368432873.50925547</v>
      </c>
      <c r="BR68" s="6">
        <f t="shared" si="69"/>
        <v>-358800000</v>
      </c>
      <c r="BT68" s="16"/>
      <c r="BU68" s="37">
        <v>3.3333333333333335E-3</v>
      </c>
      <c r="BV68" s="2">
        <v>0</v>
      </c>
      <c r="BW68" s="2">
        <f t="shared" ref="BW68:CY68" si="133">$B$20/($B$21-$B$22*BV68)</f>
        <v>0.34883720930232553</v>
      </c>
      <c r="BX68" s="2">
        <f t="shared" si="133"/>
        <v>0.39716748768472904</v>
      </c>
      <c r="BY68" s="2">
        <f t="shared" si="133"/>
        <v>0.40494040593779607</v>
      </c>
      <c r="BZ68" s="2">
        <f t="shared" si="133"/>
        <v>0.4062190081621499</v>
      </c>
      <c r="CA68" s="2">
        <f t="shared" si="133"/>
        <v>0.40643010492156101</v>
      </c>
      <c r="CB68" s="2">
        <f t="shared" si="133"/>
        <v>0.40646497802255066</v>
      </c>
      <c r="CC68" s="2">
        <f t="shared" si="133"/>
        <v>0.40647073962099717</v>
      </c>
      <c r="CD68" s="2">
        <f t="shared" si="133"/>
        <v>0.40647169154566137</v>
      </c>
      <c r="CE68" s="2">
        <f t="shared" si="133"/>
        <v>0.40647184882198806</v>
      </c>
      <c r="CF68" s="2">
        <f t="shared" si="133"/>
        <v>0.40647187480708435</v>
      </c>
      <c r="CG68" s="2">
        <f t="shared" si="133"/>
        <v>0.40647187910032606</v>
      </c>
      <c r="CH68" s="2">
        <f t="shared" si="133"/>
        <v>0.40647187980965277</v>
      </c>
      <c r="CI68" s="2">
        <f t="shared" si="133"/>
        <v>0.4064718799268473</v>
      </c>
      <c r="CJ68" s="2">
        <f t="shared" si="133"/>
        <v>0.40647187994621015</v>
      </c>
      <c r="CK68" s="2">
        <f t="shared" si="133"/>
        <v>0.40647187994940925</v>
      </c>
      <c r="CL68" s="2">
        <f t="shared" si="133"/>
        <v>0.40647187994993778</v>
      </c>
      <c r="CM68" s="2">
        <f t="shared" si="133"/>
        <v>0.40647187995002515</v>
      </c>
      <c r="CN68" s="2">
        <f t="shared" si="133"/>
        <v>0.40647187995003953</v>
      </c>
      <c r="CO68" s="2">
        <f t="shared" si="133"/>
        <v>0.40647187995004191</v>
      </c>
      <c r="CP68" s="2">
        <f t="shared" si="133"/>
        <v>0.40647187995004236</v>
      </c>
      <c r="CQ68" s="2">
        <f t="shared" si="133"/>
        <v>0.40647187995004236</v>
      </c>
      <c r="CR68" s="2">
        <f t="shared" si="133"/>
        <v>0.40647187995004236</v>
      </c>
      <c r="CS68" s="2">
        <f t="shared" si="133"/>
        <v>0.40647187995004236</v>
      </c>
      <c r="CT68" s="2">
        <f t="shared" si="133"/>
        <v>0.40647187995004236</v>
      </c>
      <c r="CU68" s="2">
        <f t="shared" si="133"/>
        <v>0.40647187995004236</v>
      </c>
      <c r="CV68" s="2">
        <f t="shared" si="133"/>
        <v>0.40647187995004236</v>
      </c>
      <c r="CW68" s="2">
        <f t="shared" si="133"/>
        <v>0.40647187995004236</v>
      </c>
      <c r="CX68" s="2">
        <f t="shared" si="133"/>
        <v>0.40647187995004236</v>
      </c>
      <c r="CY68" s="2">
        <f t="shared" si="133"/>
        <v>0.40647187995004236</v>
      </c>
      <c r="CZ68" s="2">
        <f t="shared" si="71"/>
        <v>100</v>
      </c>
      <c r="DB68" s="16"/>
      <c r="DC68" s="37">
        <v>3.3333333333333335E-3</v>
      </c>
      <c r="DD68" s="2">
        <f t="shared" si="72"/>
        <v>300</v>
      </c>
      <c r="DE68" s="2">
        <f t="shared" si="73"/>
        <v>192.12476221558973</v>
      </c>
      <c r="DF68" s="2">
        <f t="shared" si="74"/>
        <v>172.24289966341601</v>
      </c>
      <c r="DG68" s="2">
        <f t="shared" si="75"/>
        <v>163.86648521607773</v>
      </c>
      <c r="DH68" s="2">
        <f t="shared" si="76"/>
        <v>157.31901025501361</v>
      </c>
      <c r="DI68" s="2">
        <f t="shared" si="77"/>
        <v>151.1358875511855</v>
      </c>
      <c r="DJ68" s="2">
        <f t="shared" si="78"/>
        <v>145.10569881589169</v>
      </c>
      <c r="DK68" s="2">
        <f t="shared" si="79"/>
        <v>139.21381896559828</v>
      </c>
      <c r="DL68" s="2">
        <f t="shared" si="80"/>
        <v>133.47556455661061</v>
      </c>
      <c r="DM68" s="2">
        <f t="shared" si="81"/>
        <v>127.90953294118479</v>
      </c>
      <c r="DN68" s="2">
        <f t="shared" si="82"/>
        <v>122.53319503750771</v>
      </c>
      <c r="DO68" s="2">
        <f t="shared" si="83"/>
        <v>117.3620380998202</v>
      </c>
      <c r="DP68" s="2">
        <f t="shared" si="84"/>
        <v>112.4092922854247</v>
      </c>
      <c r="DQ68" s="2">
        <f t="shared" si="85"/>
        <v>107.68577206391278</v>
      </c>
      <c r="DR68" s="2">
        <f t="shared" si="86"/>
        <v>103.19975929375265</v>
      </c>
      <c r="DS68" s="2">
        <f t="shared" si="87"/>
        <v>98.956917219902166</v>
      </c>
      <c r="DT68" s="2">
        <f t="shared" si="88"/>
        <v>94.960234234153134</v>
      </c>
      <c r="DU68" s="2">
        <f t="shared" si="89"/>
        <v>91.209997460546091</v>
      </c>
      <c r="DV68" s="2">
        <f t="shared" si="90"/>
        <v>87.703796131109428</v>
      </c>
      <c r="DW68" s="2">
        <f t="shared" si="91"/>
        <v>84.436554422384546</v>
      </c>
      <c r="DX68" s="2">
        <f t="shared" si="92"/>
        <v>81.400593111215741</v>
      </c>
      <c r="DY68" s="2">
        <f t="shared" si="93"/>
        <v>78.585719110312738</v>
      </c>
      <c r="DZ68" s="2">
        <f t="shared" si="94"/>
        <v>75.979341667075673</v>
      </c>
      <c r="EA68" s="2">
        <f t="shared" si="95"/>
        <v>73.566613755593906</v>
      </c>
      <c r="EB68" s="2">
        <f t="shared" si="96"/>
        <v>71.330596962786785</v>
      </c>
      <c r="EC68" s="2">
        <f t="shared" si="97"/>
        <v>69.252447965809509</v>
      </c>
      <c r="ED68" s="2">
        <f t="shared" si="98"/>
        <v>67.31162451900029</v>
      </c>
      <c r="EE68" s="2">
        <f t="shared" si="99"/>
        <v>65.486108714239876</v>
      </c>
      <c r="EF68" s="2">
        <f t="shared" si="100"/>
        <v>63.752645147744317</v>
      </c>
      <c r="EG68" s="2">
        <f t="shared" si="101"/>
        <v>62.086991517915081</v>
      </c>
      <c r="EH68" s="2">
        <f t="shared" si="102"/>
        <v>60.464179091732959</v>
      </c>
    </row>
    <row r="69" spans="5:138">
      <c r="E69" s="18"/>
      <c r="F69" s="37">
        <v>0</v>
      </c>
      <c r="G69">
        <f t="shared" si="10"/>
        <v>300</v>
      </c>
      <c r="H69">
        <f t="shared" si="11"/>
        <v>289.38593600154053</v>
      </c>
      <c r="I69">
        <f t="shared" si="12"/>
        <v>278.81536485305895</v>
      </c>
      <c r="J69">
        <f t="shared" si="13"/>
        <v>268.33129219841885</v>
      </c>
      <c r="K69">
        <f t="shared" si="14"/>
        <v>257.97575507539807</v>
      </c>
      <c r="L69">
        <f t="shared" si="15"/>
        <v>247.78935204382523</v>
      </c>
      <c r="M69">
        <f t="shared" si="16"/>
        <v>237.8107903972649</v>
      </c>
      <c r="N69">
        <f t="shared" si="17"/>
        <v>228.07645576842276</v>
      </c>
      <c r="O69">
        <f t="shared" si="18"/>
        <v>218.62000911967755</v>
      </c>
      <c r="P69">
        <f t="shared" si="19"/>
        <v>209.47201572462313</v>
      </c>
      <c r="Q69">
        <f t="shared" si="20"/>
        <v>200.65961030220848</v>
      </c>
      <c r="R69">
        <f t="shared" si="21"/>
        <v>192.20620197099819</v>
      </c>
      <c r="S69">
        <f t="shared" si="22"/>
        <v>184.13122215695722</v>
      </c>
      <c r="T69">
        <f t="shared" si="23"/>
        <v>176.44991802414302</v>
      </c>
      <c r="U69">
        <f t="shared" si="24"/>
        <v>169.17319341403328</v>
      </c>
      <c r="V69">
        <f t="shared" si="25"/>
        <v>162.30749868603738</v>
      </c>
      <c r="W69">
        <f t="shared" si="26"/>
        <v>155.85477025869545</v>
      </c>
      <c r="X69">
        <f t="shared" si="27"/>
        <v>149.81242006714527</v>
      </c>
      <c r="Y69">
        <f t="shared" si="28"/>
        <v>144.17337458572587</v>
      </c>
      <c r="Z69">
        <f t="shared" si="29"/>
        <v>138.92616252213378</v>
      </c>
      <c r="AA69">
        <f t="shared" si="30"/>
        <v>134.05504977723518</v>
      </c>
      <c r="AB69">
        <f t="shared" si="31"/>
        <v>129.54021978713749</v>
      </c>
      <c r="AC69">
        <f t="shared" si="32"/>
        <v>125.35799692487296</v>
      </c>
      <c r="AD69">
        <f t="shared" si="33"/>
        <v>121.48111024031033</v>
      </c>
      <c r="AE69">
        <f t="shared" si="34"/>
        <v>117.87899445985141</v>
      </c>
      <c r="AF69">
        <f t="shared" si="35"/>
        <v>114.51812485229161</v>
      </c>
      <c r="AG69">
        <f t="shared" si="36"/>
        <v>111.36238229332248</v>
      </c>
      <c r="AH69">
        <f t="shared" si="37"/>
        <v>108.37344462730429</v>
      </c>
      <c r="AI69">
        <f t="shared" si="120"/>
        <v>105.51120022948577</v>
      </c>
      <c r="AJ69">
        <f t="shared" si="103"/>
        <v>102.73417951291933</v>
      </c>
      <c r="AK69">
        <f t="shared" si="39"/>
        <v>100</v>
      </c>
      <c r="AL69" s="16"/>
      <c r="AM69" s="37">
        <v>0</v>
      </c>
      <c r="AN69" s="6">
        <f t="shared" si="40"/>
        <v>-1076400000</v>
      </c>
      <c r="AO69" s="6">
        <f t="shared" si="104"/>
        <v>-1038136677.9746188</v>
      </c>
      <c r="AP69" s="6">
        <f t="shared" si="41"/>
        <v>-1000031425.3282717</v>
      </c>
      <c r="AQ69" s="6">
        <f t="shared" si="42"/>
        <v>-962240539.30702317</v>
      </c>
      <c r="AR69" s="6">
        <f t="shared" si="43"/>
        <v>-924916794.07193398</v>
      </c>
      <c r="AS69" s="6">
        <f t="shared" si="44"/>
        <v>-888207731.79929292</v>
      </c>
      <c r="AT69" s="6">
        <f t="shared" si="45"/>
        <v>-852254016.09203303</v>
      </c>
      <c r="AU69" s="6">
        <f t="shared" si="46"/>
        <v>-817187867.05949962</v>
      </c>
      <c r="AV69" s="6">
        <f t="shared" si="47"/>
        <v>-783131596.25112343</v>
      </c>
      <c r="AW69" s="6">
        <f t="shared" si="48"/>
        <v>-750196258.21321905</v>
      </c>
      <c r="AX69" s="6">
        <f t="shared" si="49"/>
        <v>-718480433.8067379</v>
      </c>
      <c r="AY69" s="6">
        <f t="shared" si="50"/>
        <v>-688069158.61086047</v>
      </c>
      <c r="AZ69" s="6">
        <f t="shared" si="51"/>
        <v>-659033007.77888405</v>
      </c>
      <c r="BA69" s="6">
        <f t="shared" si="52"/>
        <v>-631427346.64662886</v>
      </c>
      <c r="BB69" s="6">
        <f t="shared" si="53"/>
        <v>-605291754.25760019</v>
      </c>
      <c r="BC69" s="6">
        <f t="shared" si="54"/>
        <v>-580649624.80079472</v>
      </c>
      <c r="BD69" s="6">
        <f t="shared" si="55"/>
        <v>-557507949.79202163</v>
      </c>
      <c r="BE69" s="6">
        <f t="shared" si="56"/>
        <v>-535857281.70097578</v>
      </c>
      <c r="BF69" s="6">
        <f t="shared" si="57"/>
        <v>-515671877.66377944</v>
      </c>
      <c r="BG69" s="6">
        <f t="shared" si="58"/>
        <v>-496910019.9500249</v>
      </c>
      <c r="BH69" s="6">
        <f t="shared" si="59"/>
        <v>-479514507.99584407</v>
      </c>
      <c r="BI69" s="6">
        <f t="shared" si="60"/>
        <v>-463413315.08702004</v>
      </c>
      <c r="BJ69" s="6">
        <f t="shared" si="61"/>
        <v>-448520401.19075847</v>
      </c>
      <c r="BK69" s="6">
        <f t="shared" si="62"/>
        <v>-434736671.99924439</v>
      </c>
      <c r="BL69" s="6">
        <f t="shared" si="63"/>
        <v>-421951072.96614474</v>
      </c>
      <c r="BM69" s="6">
        <f t="shared" si="64"/>
        <v>-410041805.98885697</v>
      </c>
      <c r="BN69" s="6">
        <f t="shared" si="65"/>
        <v>-398877655.41162443</v>
      </c>
      <c r="BO69" s="6">
        <f t="shared" si="66"/>
        <v>-388319409.19242132</v>
      </c>
      <c r="BP69" s="6">
        <f t="shared" si="67"/>
        <v>-378221360.38301134</v>
      </c>
      <c r="BQ69" s="6">
        <f t="shared" si="68"/>
        <v>-368432873.50925547</v>
      </c>
      <c r="BR69" s="6">
        <f t="shared" si="69"/>
        <v>-358800000</v>
      </c>
      <c r="BT69" s="16"/>
      <c r="BU69" s="37">
        <v>0</v>
      </c>
      <c r="BV69" s="2">
        <v>0</v>
      </c>
      <c r="BW69" s="2">
        <f t="shared" ref="BW69:CY69" si="134">$B$20/($B$21-$B$22*BV69)</f>
        <v>0.34883720930232553</v>
      </c>
      <c r="BX69" s="2">
        <f t="shared" si="134"/>
        <v>0.39716748768472904</v>
      </c>
      <c r="BY69" s="2">
        <f t="shared" si="134"/>
        <v>0.40494040593779607</v>
      </c>
      <c r="BZ69" s="2">
        <f t="shared" si="134"/>
        <v>0.4062190081621499</v>
      </c>
      <c r="CA69" s="2">
        <f t="shared" si="134"/>
        <v>0.40643010492156101</v>
      </c>
      <c r="CB69" s="2">
        <f t="shared" si="134"/>
        <v>0.40646497802255066</v>
      </c>
      <c r="CC69" s="2">
        <f t="shared" si="134"/>
        <v>0.40647073962099717</v>
      </c>
      <c r="CD69" s="2">
        <f t="shared" si="134"/>
        <v>0.40647169154566137</v>
      </c>
      <c r="CE69" s="2">
        <f t="shared" si="134"/>
        <v>0.40647184882198806</v>
      </c>
      <c r="CF69" s="2">
        <f t="shared" si="134"/>
        <v>0.40647187480708435</v>
      </c>
      <c r="CG69" s="2">
        <f t="shared" si="134"/>
        <v>0.40647187910032606</v>
      </c>
      <c r="CH69" s="2">
        <f t="shared" si="134"/>
        <v>0.40647187980965277</v>
      </c>
      <c r="CI69" s="2">
        <f t="shared" si="134"/>
        <v>0.4064718799268473</v>
      </c>
      <c r="CJ69" s="2">
        <f t="shared" si="134"/>
        <v>0.40647187994621015</v>
      </c>
      <c r="CK69" s="2">
        <f t="shared" si="134"/>
        <v>0.40647187994940925</v>
      </c>
      <c r="CL69" s="2">
        <f t="shared" si="134"/>
        <v>0.40647187994993778</v>
      </c>
      <c r="CM69" s="2">
        <f t="shared" si="134"/>
        <v>0.40647187995002515</v>
      </c>
      <c r="CN69" s="2">
        <f t="shared" si="134"/>
        <v>0.40647187995003953</v>
      </c>
      <c r="CO69" s="2">
        <f t="shared" si="134"/>
        <v>0.40647187995004191</v>
      </c>
      <c r="CP69" s="2">
        <f t="shared" si="134"/>
        <v>0.40647187995004236</v>
      </c>
      <c r="CQ69" s="2">
        <f t="shared" si="134"/>
        <v>0.40647187995004236</v>
      </c>
      <c r="CR69" s="2">
        <f t="shared" si="134"/>
        <v>0.40647187995004236</v>
      </c>
      <c r="CS69" s="2">
        <f t="shared" si="134"/>
        <v>0.40647187995004236</v>
      </c>
      <c r="CT69" s="2">
        <f t="shared" si="134"/>
        <v>0.40647187995004236</v>
      </c>
      <c r="CU69" s="2">
        <f t="shared" si="134"/>
        <v>0.40647187995004236</v>
      </c>
      <c r="CV69" s="2">
        <f t="shared" si="134"/>
        <v>0.40647187995004236</v>
      </c>
      <c r="CW69" s="2">
        <f t="shared" si="134"/>
        <v>0.40647187995004236</v>
      </c>
      <c r="CX69" s="2">
        <f t="shared" si="134"/>
        <v>0.40647187995004236</v>
      </c>
      <c r="CY69" s="2">
        <f t="shared" si="134"/>
        <v>0.40647187995004236</v>
      </c>
      <c r="CZ69" s="2">
        <f t="shared" si="71"/>
        <v>100</v>
      </c>
      <c r="DB69" s="16"/>
      <c r="DC69" s="37">
        <v>0</v>
      </c>
      <c r="DD69" s="2">
        <f t="shared" si="72"/>
        <v>300</v>
      </c>
      <c r="DE69" s="2">
        <f t="shared" si="73"/>
        <v>192.12476221558973</v>
      </c>
      <c r="DF69" s="2">
        <f t="shared" si="74"/>
        <v>172.24289966341601</v>
      </c>
      <c r="DG69" s="2">
        <f t="shared" si="75"/>
        <v>163.86648521607773</v>
      </c>
      <c r="DH69" s="2">
        <f t="shared" si="76"/>
        <v>157.31901025501361</v>
      </c>
      <c r="DI69" s="2">
        <f t="shared" si="77"/>
        <v>151.1358875511855</v>
      </c>
      <c r="DJ69" s="2">
        <f t="shared" si="78"/>
        <v>145.10569881589169</v>
      </c>
      <c r="DK69" s="2">
        <f t="shared" si="79"/>
        <v>139.21381896559828</v>
      </c>
      <c r="DL69" s="2">
        <f t="shared" si="80"/>
        <v>133.47556455661061</v>
      </c>
      <c r="DM69" s="2">
        <f t="shared" si="81"/>
        <v>127.90953294118479</v>
      </c>
      <c r="DN69" s="2">
        <f t="shared" si="82"/>
        <v>122.53319503750771</v>
      </c>
      <c r="DO69" s="2">
        <f t="shared" si="83"/>
        <v>117.3620380998202</v>
      </c>
      <c r="DP69" s="2">
        <f t="shared" si="84"/>
        <v>112.4092922854247</v>
      </c>
      <c r="DQ69" s="2">
        <f t="shared" si="85"/>
        <v>107.68577206391278</v>
      </c>
      <c r="DR69" s="2">
        <f t="shared" si="86"/>
        <v>103.19975929375265</v>
      </c>
      <c r="DS69" s="2">
        <f t="shared" si="87"/>
        <v>98.956917219902166</v>
      </c>
      <c r="DT69" s="2">
        <f t="shared" si="88"/>
        <v>94.960234234153134</v>
      </c>
      <c r="DU69" s="2">
        <f t="shared" si="89"/>
        <v>91.209997460546091</v>
      </c>
      <c r="DV69" s="2">
        <f t="shared" si="90"/>
        <v>87.703796131109428</v>
      </c>
      <c r="DW69" s="2">
        <f t="shared" si="91"/>
        <v>84.436554422384546</v>
      </c>
      <c r="DX69" s="2">
        <f t="shared" si="92"/>
        <v>81.400593111215741</v>
      </c>
      <c r="DY69" s="2">
        <f t="shared" si="93"/>
        <v>78.585719110312738</v>
      </c>
      <c r="DZ69" s="2">
        <f t="shared" si="94"/>
        <v>75.979341667075673</v>
      </c>
      <c r="EA69" s="2">
        <f t="shared" si="95"/>
        <v>73.566613755593906</v>
      </c>
      <c r="EB69" s="2">
        <f t="shared" si="96"/>
        <v>71.330596962786785</v>
      </c>
      <c r="EC69" s="2">
        <f t="shared" si="97"/>
        <v>69.252447965809509</v>
      </c>
      <c r="ED69" s="2">
        <f t="shared" si="98"/>
        <v>67.31162451900029</v>
      </c>
      <c r="EE69" s="2">
        <f t="shared" si="99"/>
        <v>65.486108714239876</v>
      </c>
      <c r="EF69" s="2">
        <f t="shared" si="100"/>
        <v>63.752645147744317</v>
      </c>
      <c r="EG69" s="2">
        <f t="shared" si="101"/>
        <v>62.086991517915081</v>
      </c>
      <c r="EH69" s="2">
        <f t="shared" si="102"/>
        <v>60.464179091732959</v>
      </c>
    </row>
    <row r="70" spans="5:138">
      <c r="AM70" s="7"/>
    </row>
    <row r="71" spans="5:138">
      <c r="AM71" s="7"/>
    </row>
    <row r="72" spans="5:138">
      <c r="AM72" s="7"/>
    </row>
    <row r="73" spans="5:138">
      <c r="E73" s="17" t="s">
        <v>26</v>
      </c>
      <c r="F73" s="4"/>
      <c r="G73" s="36">
        <v>0</v>
      </c>
      <c r="H73" s="37">
        <v>3.3333333333333335E-3</v>
      </c>
      <c r="I73" s="37">
        <v>6.6666666666666671E-3</v>
      </c>
      <c r="J73" s="37">
        <v>0.01</v>
      </c>
      <c r="K73" s="37">
        <v>1.3333333333333334E-2</v>
      </c>
      <c r="L73" s="37">
        <v>1.6666666666666666E-2</v>
      </c>
      <c r="M73" s="37">
        <v>0.02</v>
      </c>
      <c r="N73" s="37">
        <v>2.3333333333333334E-2</v>
      </c>
      <c r="O73" s="37">
        <v>2.6666666666666668E-2</v>
      </c>
      <c r="P73" s="37">
        <v>3.0000000000000002E-2</v>
      </c>
      <c r="Q73" s="37">
        <v>3.3333333333333333E-2</v>
      </c>
      <c r="R73" s="37">
        <v>3.6666666666666667E-2</v>
      </c>
      <c r="S73" s="37">
        <v>0.04</v>
      </c>
      <c r="T73" s="37">
        <v>4.3333333333333335E-2</v>
      </c>
      <c r="U73" s="37">
        <v>4.6666666666666669E-2</v>
      </c>
      <c r="V73" s="37">
        <v>0.05</v>
      </c>
      <c r="W73" s="37">
        <v>5.3333333333333337E-2</v>
      </c>
      <c r="X73" s="37">
        <v>5.6666666666666671E-2</v>
      </c>
      <c r="Y73" s="37">
        <v>6.0000000000000005E-2</v>
      </c>
      <c r="Z73" s="37">
        <v>6.3333333333333339E-2</v>
      </c>
      <c r="AA73" s="37">
        <v>6.6666666666666666E-2</v>
      </c>
      <c r="AB73" s="37">
        <v>7.0000000000000007E-2</v>
      </c>
      <c r="AC73" s="37">
        <v>7.3333333333333334E-2</v>
      </c>
      <c r="AD73" s="37">
        <v>7.6666666666666675E-2</v>
      </c>
      <c r="AE73" s="37">
        <v>0.08</v>
      </c>
      <c r="AF73" s="37">
        <v>8.3333333333333343E-2</v>
      </c>
      <c r="AG73" s="37">
        <v>8.666666666666667E-2</v>
      </c>
      <c r="AH73" s="37">
        <v>9.0000000000000011E-2</v>
      </c>
      <c r="AI73" s="37">
        <v>9.3333333333333338E-2</v>
      </c>
      <c r="AJ73" s="37">
        <v>9.6666666666666679E-2</v>
      </c>
      <c r="AK73" s="37">
        <v>0.1</v>
      </c>
      <c r="AL73" s="16" t="s">
        <v>27</v>
      </c>
      <c r="AM73" s="4"/>
      <c r="AN73" s="36">
        <v>0</v>
      </c>
      <c r="AO73" s="37">
        <v>3.3333333333333335E-3</v>
      </c>
      <c r="AP73" s="37">
        <v>6.6666666666666671E-3</v>
      </c>
      <c r="AQ73" s="37">
        <v>0.01</v>
      </c>
      <c r="AR73" s="37">
        <v>1.3333333333333334E-2</v>
      </c>
      <c r="AS73" s="37">
        <v>1.6666666666666666E-2</v>
      </c>
      <c r="AT73" s="37">
        <v>0.02</v>
      </c>
      <c r="AU73" s="37">
        <v>2.3333333333333334E-2</v>
      </c>
      <c r="AV73" s="37">
        <v>2.6666666666666668E-2</v>
      </c>
      <c r="AW73" s="37">
        <v>3.0000000000000002E-2</v>
      </c>
      <c r="AX73" s="37">
        <v>3.3333333333333333E-2</v>
      </c>
      <c r="AY73" s="37">
        <v>3.6666666666666667E-2</v>
      </c>
      <c r="AZ73" s="37">
        <v>0.04</v>
      </c>
      <c r="BA73" s="37">
        <v>4.3333333333333335E-2</v>
      </c>
      <c r="BB73" s="37">
        <v>4.6666666666666669E-2</v>
      </c>
      <c r="BC73" s="37">
        <v>0.05</v>
      </c>
      <c r="BD73" s="37">
        <v>5.3333333333333337E-2</v>
      </c>
      <c r="BE73" s="37">
        <v>5.6666666666666671E-2</v>
      </c>
      <c r="BF73" s="37">
        <v>6.0000000000000005E-2</v>
      </c>
      <c r="BG73" s="37">
        <v>6.3333333333333339E-2</v>
      </c>
      <c r="BH73" s="37">
        <v>6.6666666666666666E-2</v>
      </c>
      <c r="BI73" s="37">
        <v>7.0000000000000007E-2</v>
      </c>
      <c r="BJ73" s="37">
        <v>7.3333333333333334E-2</v>
      </c>
      <c r="BK73" s="37">
        <v>7.6666666666666675E-2</v>
      </c>
      <c r="BL73" s="37">
        <v>0.08</v>
      </c>
      <c r="BM73" s="37">
        <v>8.3333333333333343E-2</v>
      </c>
      <c r="BN73" s="37">
        <v>8.666666666666667E-2</v>
      </c>
      <c r="BO73" s="37">
        <v>9.0000000000000011E-2</v>
      </c>
      <c r="BP73" s="37">
        <v>9.3333333333333338E-2</v>
      </c>
      <c r="BQ73" s="37">
        <v>9.6666666666666679E-2</v>
      </c>
      <c r="BR73" s="37">
        <v>0.1</v>
      </c>
      <c r="BT73" s="19" t="s">
        <v>28</v>
      </c>
      <c r="BU73" s="4"/>
      <c r="BV73" s="36">
        <v>0</v>
      </c>
      <c r="BW73" s="37">
        <v>3.3333333333333335E-3</v>
      </c>
      <c r="BX73" s="37">
        <v>6.6666666666666671E-3</v>
      </c>
      <c r="BY73" s="37">
        <v>0.01</v>
      </c>
      <c r="BZ73" s="37">
        <v>1.3333333333333334E-2</v>
      </c>
      <c r="CA73" s="37">
        <v>1.6666666666666666E-2</v>
      </c>
      <c r="CB73" s="37">
        <v>0.02</v>
      </c>
      <c r="CC73" s="37">
        <v>2.3333333333333334E-2</v>
      </c>
      <c r="CD73" s="37">
        <v>2.6666666666666668E-2</v>
      </c>
      <c r="CE73" s="37">
        <v>3.0000000000000002E-2</v>
      </c>
      <c r="CF73" s="37">
        <v>3.3333333333333333E-2</v>
      </c>
      <c r="CG73" s="37">
        <v>3.6666666666666667E-2</v>
      </c>
      <c r="CH73" s="37">
        <v>0.04</v>
      </c>
      <c r="CI73" s="37">
        <v>4.3333333333333335E-2</v>
      </c>
      <c r="CJ73" s="37">
        <v>4.6666666666666669E-2</v>
      </c>
      <c r="CK73" s="37">
        <v>0.05</v>
      </c>
      <c r="CL73" s="37">
        <v>5.3333333333333337E-2</v>
      </c>
      <c r="CM73" s="37">
        <v>5.6666666666666671E-2</v>
      </c>
      <c r="CN73" s="37">
        <v>6.0000000000000005E-2</v>
      </c>
      <c r="CO73" s="37">
        <v>6.3333333333333339E-2</v>
      </c>
      <c r="CP73" s="37">
        <v>6.6666666666666666E-2</v>
      </c>
      <c r="CQ73" s="37">
        <v>7.0000000000000007E-2</v>
      </c>
      <c r="CR73" s="37">
        <v>7.3333333333333334E-2</v>
      </c>
      <c r="CS73" s="37">
        <v>7.6666666666666675E-2</v>
      </c>
      <c r="CT73" s="37">
        <v>0.08</v>
      </c>
      <c r="CU73" s="37">
        <v>8.3333333333333343E-2</v>
      </c>
      <c r="CV73" s="37">
        <v>8.666666666666667E-2</v>
      </c>
      <c r="CW73" s="37">
        <v>9.0000000000000011E-2</v>
      </c>
      <c r="CX73" s="37">
        <v>9.3333333333333338E-2</v>
      </c>
      <c r="CY73" s="37">
        <v>9.6666666666666679E-2</v>
      </c>
      <c r="CZ73" s="37">
        <v>0.1</v>
      </c>
      <c r="DB73" s="19" t="s">
        <v>29</v>
      </c>
      <c r="DC73" s="4"/>
      <c r="DD73" s="36">
        <v>0</v>
      </c>
      <c r="DE73" s="37">
        <v>3.3333333333333335E-3</v>
      </c>
      <c r="DF73" s="37">
        <v>6.6666666666666671E-3</v>
      </c>
      <c r="DG73" s="37">
        <v>0.01</v>
      </c>
      <c r="DH73" s="37">
        <v>1.3333333333333334E-2</v>
      </c>
      <c r="DI73" s="37">
        <v>1.6666666666666666E-2</v>
      </c>
      <c r="DJ73" s="37">
        <v>0.02</v>
      </c>
      <c r="DK73" s="37">
        <v>2.3333333333333334E-2</v>
      </c>
      <c r="DL73" s="37">
        <v>2.6666666666666668E-2</v>
      </c>
      <c r="DM73" s="37">
        <v>3.0000000000000002E-2</v>
      </c>
      <c r="DN73" s="37">
        <v>3.3333333333333333E-2</v>
      </c>
      <c r="DO73" s="37">
        <v>3.6666666666666667E-2</v>
      </c>
      <c r="DP73" s="37">
        <v>0.04</v>
      </c>
      <c r="DQ73" s="37">
        <v>4.3333333333333335E-2</v>
      </c>
      <c r="DR73" s="37">
        <v>4.6666666666666669E-2</v>
      </c>
      <c r="DS73" s="37">
        <v>0.05</v>
      </c>
      <c r="DT73" s="37">
        <v>5.3333333333333337E-2</v>
      </c>
      <c r="DU73" s="37">
        <v>5.6666666666666671E-2</v>
      </c>
      <c r="DV73" s="37">
        <v>6.0000000000000005E-2</v>
      </c>
      <c r="DW73" s="37">
        <v>6.3333333333333339E-2</v>
      </c>
      <c r="DX73" s="37">
        <v>6.6666666666666666E-2</v>
      </c>
      <c r="DY73" s="37">
        <v>7.0000000000000007E-2</v>
      </c>
      <c r="DZ73" s="37">
        <v>7.3333333333333334E-2</v>
      </c>
      <c r="EA73" s="37">
        <v>7.6666666666666675E-2</v>
      </c>
      <c r="EB73" s="37">
        <v>0.08</v>
      </c>
      <c r="EC73" s="37">
        <v>8.3333333333333343E-2</v>
      </c>
      <c r="ED73" s="37">
        <v>8.666666666666667E-2</v>
      </c>
      <c r="EE73" s="37">
        <v>9.0000000000000011E-2</v>
      </c>
      <c r="EF73" s="37">
        <v>9.3333333333333338E-2</v>
      </c>
      <c r="EG73" s="37">
        <v>9.6666666666666679E-2</v>
      </c>
      <c r="EH73" s="37">
        <v>0.1</v>
      </c>
    </row>
    <row r="74" spans="5:138">
      <c r="E74" s="18"/>
      <c r="F74" s="37">
        <v>0.1</v>
      </c>
      <c r="G74" s="2">
        <f>$B$16</f>
        <v>300</v>
      </c>
      <c r="H74" s="2">
        <f t="shared" ref="H74:AI74" si="135">DE75/(1-BW75)</f>
        <v>289.38593600154053</v>
      </c>
      <c r="I74" s="2">
        <f t="shared" si="135"/>
        <v>278.81536485305895</v>
      </c>
      <c r="J74" s="2">
        <f t="shared" si="135"/>
        <v>268.33129219841885</v>
      </c>
      <c r="K74" s="2">
        <f t="shared" si="135"/>
        <v>257.97575507539807</v>
      </c>
      <c r="L74" s="2">
        <f t="shared" si="135"/>
        <v>247.78935204382532</v>
      </c>
      <c r="M74" s="2">
        <f t="shared" si="135"/>
        <v>237.81079039726498</v>
      </c>
      <c r="N74" s="2">
        <f t="shared" si="135"/>
        <v>228.07645576842287</v>
      </c>
      <c r="O74" s="2">
        <f t="shared" si="135"/>
        <v>218.62000911967763</v>
      </c>
      <c r="P74" s="2">
        <f t="shared" si="135"/>
        <v>209.47201572462316</v>
      </c>
      <c r="Q74" s="2">
        <f t="shared" si="135"/>
        <v>200.65961030220848</v>
      </c>
      <c r="R74" s="2">
        <f t="shared" si="135"/>
        <v>192.20620197099822</v>
      </c>
      <c r="S74" s="2">
        <f t="shared" si="135"/>
        <v>184.13122215695719</v>
      </c>
      <c r="T74" s="2">
        <f t="shared" si="135"/>
        <v>176.44991802414302</v>
      </c>
      <c r="U74" s="2">
        <f t="shared" si="135"/>
        <v>169.17319341403334</v>
      </c>
      <c r="V74" s="2">
        <f t="shared" si="135"/>
        <v>162.30749868603738</v>
      </c>
      <c r="W74" s="2">
        <f t="shared" si="135"/>
        <v>155.85477025869542</v>
      </c>
      <c r="X74" s="2">
        <f t="shared" si="135"/>
        <v>149.81242006714524</v>
      </c>
      <c r="Y74" s="2">
        <f t="shared" si="135"/>
        <v>144.1733745857259</v>
      </c>
      <c r="Z74" s="2">
        <f t="shared" si="135"/>
        <v>138.92616252213378</v>
      </c>
      <c r="AA74" s="2">
        <f t="shared" si="135"/>
        <v>134.05504977723515</v>
      </c>
      <c r="AB74" s="2">
        <f t="shared" si="135"/>
        <v>129.54021978713743</v>
      </c>
      <c r="AC74" s="2">
        <f t="shared" si="135"/>
        <v>125.35799692487292</v>
      </c>
      <c r="AD74" s="2">
        <f t="shared" si="135"/>
        <v>121.4811102403103</v>
      </c>
      <c r="AE74" s="2">
        <f t="shared" si="135"/>
        <v>117.87899445985141</v>
      </c>
      <c r="AF74" s="2">
        <f t="shared" si="135"/>
        <v>114.51812485229158</v>
      </c>
      <c r="AG74" s="2">
        <f t="shared" si="135"/>
        <v>111.36238229332247</v>
      </c>
      <c r="AH74" s="2">
        <f t="shared" si="135"/>
        <v>108.37344462730427</v>
      </c>
      <c r="AI74" s="2">
        <f t="shared" si="135"/>
        <v>105.51120022948572</v>
      </c>
      <c r="AJ74" s="2">
        <f>EG75/(1-CY75)</f>
        <v>102.7341795129193</v>
      </c>
      <c r="AK74" s="2">
        <f>$B$17</f>
        <v>100</v>
      </c>
      <c r="AL74" s="16"/>
      <c r="AM74" s="37">
        <v>0.1</v>
      </c>
      <c r="AN74" s="2">
        <f>-($B$12*$B$11)/$B$8*G39</f>
        <v>-1076400000</v>
      </c>
      <c r="AO74" s="2">
        <f t="shared" ref="AO74:BR74" si="136">-($B$12*$B$11)/$B$8*H39</f>
        <v>-1038316738.3735274</v>
      </c>
      <c r="AP74" s="2">
        <f t="shared" si="136"/>
        <v>-1000389529.0927753</v>
      </c>
      <c r="AQ74" s="2">
        <f t="shared" si="136"/>
        <v>-962772676.4079268</v>
      </c>
      <c r="AR74" s="2">
        <f t="shared" si="136"/>
        <v>-925617009.21052825</v>
      </c>
      <c r="AS74" s="2">
        <f t="shared" si="136"/>
        <v>-889068195.13324499</v>
      </c>
      <c r="AT74" s="2">
        <f t="shared" si="136"/>
        <v>-853265115.94538689</v>
      </c>
      <c r="AU74" s="2">
        <f t="shared" si="136"/>
        <v>-818338323.29710126</v>
      </c>
      <c r="AV74" s="2">
        <f t="shared" si="136"/>
        <v>-784408592.72140324</v>
      </c>
      <c r="AW74" s="2">
        <f t="shared" si="136"/>
        <v>-751585592.41994786</v>
      </c>
      <c r="AX74" s="2">
        <f t="shared" si="136"/>
        <v>-719966681.76432407</v>
      </c>
      <c r="AY74" s="2">
        <f t="shared" si="136"/>
        <v>-689635852.67194152</v>
      </c>
      <c r="AZ74" s="2">
        <f t="shared" si="136"/>
        <v>-660662825.09916246</v>
      </c>
      <c r="BA74" s="2">
        <f t="shared" si="136"/>
        <v>-633102305.87062514</v>
      </c>
      <c r="BB74" s="2">
        <f t="shared" si="136"/>
        <v>-606993417.96955132</v>
      </c>
      <c r="BC74" s="2">
        <f t="shared" si="136"/>
        <v>-582359305.28550196</v>
      </c>
      <c r="BD74" s="2">
        <f t="shared" si="136"/>
        <v>-559206915.68819916</v>
      </c>
      <c r="BE74" s="2">
        <f t="shared" si="136"/>
        <v>-537526963.20091712</v>
      </c>
      <c r="BF74" s="2">
        <f t="shared" si="136"/>
        <v>-517294068.01358443</v>
      </c>
      <c r="BG74" s="2">
        <f t="shared" si="136"/>
        <v>-498467071.12941599</v>
      </c>
      <c r="BH74" s="2">
        <f t="shared" si="136"/>
        <v>-480989518.60071981</v>
      </c>
      <c r="BI74" s="2">
        <f t="shared" si="136"/>
        <v>-464790308.59624922</v>
      </c>
      <c r="BJ74" s="2">
        <f t="shared" si="136"/>
        <v>-449784492.96644408</v>
      </c>
      <c r="BK74" s="2">
        <f t="shared" si="136"/>
        <v>-435874223.54223347</v>
      </c>
      <c r="BL74" s="2">
        <f t="shared" si="136"/>
        <v>-422949832.12194687</v>
      </c>
      <c r="BM74" s="2">
        <f t="shared" si="136"/>
        <v>-410891031.97002226</v>
      </c>
      <c r="BN74" s="2">
        <f t="shared" si="136"/>
        <v>-399568227.668441</v>
      </c>
      <c r="BO74" s="2">
        <f t="shared" si="136"/>
        <v>-388843919.32276773</v>
      </c>
      <c r="BP74" s="2">
        <f t="shared" si="136"/>
        <v>-378574186.4233948</v>
      </c>
      <c r="BQ74" s="2">
        <f t="shared" si="136"/>
        <v>-368610236.09235442</v>
      </c>
      <c r="BR74" s="2">
        <f t="shared" si="136"/>
        <v>-358800000</v>
      </c>
      <c r="BT74" s="16"/>
      <c r="BU74" s="37">
        <v>0.1</v>
      </c>
      <c r="BV74" s="2">
        <f>$B$20/($B$21-$B$22*BV75)</f>
        <v>0.40647187995004247</v>
      </c>
      <c r="BW74" s="2">
        <f>$B$20/($B$21-$B$22*BW75)</f>
        <v>0.40647187995004247</v>
      </c>
      <c r="BX74" s="2">
        <f t="shared" ref="BX74:CZ74" si="137">$B$20/($B$21-$B$22*BX75)</f>
        <v>0.40647187995004247</v>
      </c>
      <c r="BY74" s="2">
        <f t="shared" si="137"/>
        <v>0.40647187995004247</v>
      </c>
      <c r="BZ74" s="2">
        <f t="shared" si="137"/>
        <v>0.40647187995004247</v>
      </c>
      <c r="CA74" s="2">
        <f t="shared" si="137"/>
        <v>0.40647187995004247</v>
      </c>
      <c r="CB74" s="2">
        <f t="shared" si="137"/>
        <v>0.40647187995004247</v>
      </c>
      <c r="CC74" s="2">
        <f t="shared" si="137"/>
        <v>0.40647187995004247</v>
      </c>
      <c r="CD74" s="2">
        <f t="shared" si="137"/>
        <v>0.40647187995004247</v>
      </c>
      <c r="CE74" s="2">
        <f t="shared" si="137"/>
        <v>0.40647187995004247</v>
      </c>
      <c r="CF74" s="2">
        <f t="shared" si="137"/>
        <v>0.40647187995004247</v>
      </c>
      <c r="CG74" s="2">
        <f t="shared" si="137"/>
        <v>0.40647187995004247</v>
      </c>
      <c r="CH74" s="2">
        <f t="shared" si="137"/>
        <v>0.40647187995004247</v>
      </c>
      <c r="CI74" s="2">
        <f t="shared" si="137"/>
        <v>0.40647187995004247</v>
      </c>
      <c r="CJ74" s="2">
        <f t="shared" si="137"/>
        <v>0.40647187995004247</v>
      </c>
      <c r="CK74" s="2">
        <f t="shared" si="137"/>
        <v>0.40647187995004247</v>
      </c>
      <c r="CL74" s="2">
        <f t="shared" si="137"/>
        <v>0.40647187995004247</v>
      </c>
      <c r="CM74" s="2">
        <f t="shared" si="137"/>
        <v>0.40647187995004247</v>
      </c>
      <c r="CN74" s="2">
        <f t="shared" si="137"/>
        <v>0.40647187995004247</v>
      </c>
      <c r="CO74" s="2">
        <f t="shared" si="137"/>
        <v>0.40647187995004247</v>
      </c>
      <c r="CP74" s="2">
        <f t="shared" si="137"/>
        <v>0.40647187995004247</v>
      </c>
      <c r="CQ74" s="2">
        <f t="shared" si="137"/>
        <v>0.40647187995004247</v>
      </c>
      <c r="CR74" s="2">
        <f t="shared" si="137"/>
        <v>0.40647187995004247</v>
      </c>
      <c r="CS74" s="2">
        <f t="shared" si="137"/>
        <v>0.40647187995004247</v>
      </c>
      <c r="CT74" s="2">
        <f t="shared" si="137"/>
        <v>0.40647187995004247</v>
      </c>
      <c r="CU74" s="2">
        <f t="shared" si="137"/>
        <v>0.40647187995004247</v>
      </c>
      <c r="CV74" s="2">
        <f t="shared" si="137"/>
        <v>0.40647187995004247</v>
      </c>
      <c r="CW74" s="2">
        <f t="shared" si="137"/>
        <v>0.40647187995004247</v>
      </c>
      <c r="CX74" s="2">
        <f t="shared" si="137"/>
        <v>0.40647187995004247</v>
      </c>
      <c r="CY74" s="2">
        <f t="shared" si="137"/>
        <v>0.40647187995004247</v>
      </c>
      <c r="CZ74" s="2">
        <f t="shared" si="137"/>
        <v>0.40647187995004247</v>
      </c>
      <c r="DB74" s="16"/>
      <c r="DC74" s="37">
        <v>0.1</v>
      </c>
      <c r="DD74" s="2">
        <f>(DD75*$B$22-AN74)/($B$21-$B$22*BV75)</f>
        <v>178.05843601498725</v>
      </c>
      <c r="DE74" s="2">
        <f t="shared" ref="DE74:EH74" si="138">(DE75*$B$22-AO74)/($B$21-$B$22*BW75)</f>
        <v>171.75869056389169</v>
      </c>
      <c r="DF74" s="2">
        <f t="shared" si="138"/>
        <v>165.48475934227909</v>
      </c>
      <c r="DG74" s="2">
        <f t="shared" si="138"/>
        <v>159.2621674091034</v>
      </c>
      <c r="DH74" s="2">
        <f t="shared" si="138"/>
        <v>153.11586492836932</v>
      </c>
      <c r="DI74" s="2">
        <f t="shared" si="138"/>
        <v>147.06994828696875</v>
      </c>
      <c r="DJ74" s="2">
        <f t="shared" si="138"/>
        <v>141.14739135208319</v>
      </c>
      <c r="DK74" s="2">
        <f t="shared" si="138"/>
        <v>135.36979001988934</v>
      </c>
      <c r="DL74" s="2">
        <f t="shared" si="138"/>
        <v>129.75712301810685</v>
      </c>
      <c r="DM74" s="2">
        <f t="shared" si="138"/>
        <v>124.32753169611074</v>
      </c>
      <c r="DN74" s="2">
        <f t="shared" si="138"/>
        <v>119.09712127262691</v>
      </c>
      <c r="DO74" s="2">
        <f t="shared" si="138"/>
        <v>114.07978571778902</v>
      </c>
      <c r="DP74" s="2">
        <f t="shared" si="138"/>
        <v>109.2870581293199</v>
      </c>
      <c r="DQ74" s="2">
        <f t="shared" si="138"/>
        <v>104.72798812783873</v>
      </c>
      <c r="DR74" s="2">
        <f t="shared" si="138"/>
        <v>100.40904744987904</v>
      </c>
      <c r="DS74" s="2">
        <f t="shared" si="138"/>
        <v>96.33406456513471</v>
      </c>
      <c r="DT74" s="2">
        <f t="shared" si="138"/>
        <v>92.504188792461534</v>
      </c>
      <c r="DU74" s="2">
        <f t="shared" si="138"/>
        <v>88.917884042587261</v>
      </c>
      <c r="DV74" s="2">
        <f t="shared" si="138"/>
        <v>85.570951979124217</v>
      </c>
      <c r="DW74" s="2">
        <f t="shared" si="138"/>
        <v>82.456584067516943</v>
      </c>
      <c r="DX74" s="2">
        <f t="shared" si="138"/>
        <v>79.565441677485865</v>
      </c>
      <c r="DY74" s="2">
        <f t="shared" si="138"/>
        <v>76.885763121118003</v>
      </c>
      <c r="DZ74" s="2">
        <f t="shared" si="138"/>
        <v>74.403496248048185</v>
      </c>
      <c r="EA74" s="2">
        <f t="shared" si="138"/>
        <v>72.102454982513024</v>
      </c>
      <c r="EB74" s="2">
        <f t="shared" si="138"/>
        <v>69.964497975134975</v>
      </c>
      <c r="EC74" s="2">
        <f t="shared" si="138"/>
        <v>67.969727355226951</v>
      </c>
      <c r="ED74" s="2">
        <f t="shared" si="138"/>
        <v>66.096705406840371</v>
      </c>
      <c r="EE74" s="2">
        <f t="shared" si="138"/>
        <v>64.322686852982073</v>
      </c>
      <c r="EF74" s="2">
        <f t="shared" si="138"/>
        <v>62.623864316421312</v>
      </c>
      <c r="EG74" s="2">
        <f t="shared" si="138"/>
        <v>60.975624431177856</v>
      </c>
      <c r="EH74" s="2">
        <f t="shared" si="138"/>
        <v>59.352812004995762</v>
      </c>
    </row>
    <row r="75" spans="5:138">
      <c r="E75" s="18"/>
      <c r="F75" s="37">
        <v>9.6666666666666679E-2</v>
      </c>
      <c r="G75" s="2">
        <f t="shared" ref="G75:G104" si="139">$B$16</f>
        <v>300</v>
      </c>
      <c r="H75" s="2">
        <f>BW75*H74+DE75</f>
        <v>289.38593600154053</v>
      </c>
      <c r="I75" s="2">
        <f t="shared" ref="I75:AJ75" si="140">BX75*I74+DF75</f>
        <v>278.81536485305895</v>
      </c>
      <c r="J75" s="2">
        <f t="shared" si="140"/>
        <v>268.33129219841885</v>
      </c>
      <c r="K75" s="2">
        <f t="shared" si="140"/>
        <v>257.97575507539807</v>
      </c>
      <c r="L75" s="2">
        <f t="shared" si="140"/>
        <v>247.78935204382532</v>
      </c>
      <c r="M75" s="2">
        <f t="shared" si="140"/>
        <v>237.81079039726501</v>
      </c>
      <c r="N75" s="2">
        <f t="shared" si="140"/>
        <v>228.07645576842287</v>
      </c>
      <c r="O75" s="2">
        <f t="shared" si="140"/>
        <v>218.62000911967766</v>
      </c>
      <c r="P75" s="2">
        <f t="shared" si="140"/>
        <v>209.47201572462319</v>
      </c>
      <c r="Q75" s="2">
        <f t="shared" si="140"/>
        <v>200.65961030220848</v>
      </c>
      <c r="R75" s="2">
        <f t="shared" si="140"/>
        <v>192.20620197099822</v>
      </c>
      <c r="S75" s="2">
        <f t="shared" si="140"/>
        <v>184.13122215695722</v>
      </c>
      <c r="T75" s="2">
        <f t="shared" si="140"/>
        <v>176.44991802414302</v>
      </c>
      <c r="U75" s="2">
        <f t="shared" si="140"/>
        <v>169.17319341403334</v>
      </c>
      <c r="V75" s="2">
        <f t="shared" si="140"/>
        <v>162.30749868603738</v>
      </c>
      <c r="W75" s="2">
        <f t="shared" si="140"/>
        <v>155.85477025869542</v>
      </c>
      <c r="X75" s="2">
        <f t="shared" si="140"/>
        <v>149.81242006714524</v>
      </c>
      <c r="Y75" s="2">
        <f t="shared" si="140"/>
        <v>144.1733745857259</v>
      </c>
      <c r="Z75" s="2">
        <f t="shared" si="140"/>
        <v>138.92616252213378</v>
      </c>
      <c r="AA75" s="2">
        <f t="shared" si="140"/>
        <v>134.05504977723515</v>
      </c>
      <c r="AB75" s="2">
        <f t="shared" si="140"/>
        <v>129.54021978713746</v>
      </c>
      <c r="AC75" s="2">
        <f t="shared" si="140"/>
        <v>125.35799692487292</v>
      </c>
      <c r="AD75" s="2">
        <f t="shared" si="140"/>
        <v>121.4811102403103</v>
      </c>
      <c r="AE75" s="2">
        <f t="shared" si="140"/>
        <v>117.87899445985141</v>
      </c>
      <c r="AF75" s="2">
        <f t="shared" si="140"/>
        <v>114.51812485229158</v>
      </c>
      <c r="AG75" s="2">
        <f t="shared" si="140"/>
        <v>111.36238229332247</v>
      </c>
      <c r="AH75" s="2">
        <f t="shared" si="140"/>
        <v>108.37344462730427</v>
      </c>
      <c r="AI75" s="2">
        <f t="shared" si="140"/>
        <v>105.51120022948572</v>
      </c>
      <c r="AJ75" s="2">
        <f t="shared" si="140"/>
        <v>102.7341795129193</v>
      </c>
      <c r="AK75" s="2">
        <f t="shared" ref="AK75:AK104" si="141">$B$17</f>
        <v>100</v>
      </c>
      <c r="AL75" s="16"/>
      <c r="AM75" s="37">
        <v>9.6666666666666679E-2</v>
      </c>
      <c r="AN75" s="2">
        <f t="shared" ref="AN75:AN104" si="142">-($B$12*$B$11)/$B$8*G40</f>
        <v>-1076400000</v>
      </c>
      <c r="AO75" s="2">
        <f t="shared" ref="AO75:AO104" si="143">-($B$12*$B$11)/$B$8*H40</f>
        <v>-1038316738.3735274</v>
      </c>
      <c r="AP75" s="2">
        <f t="shared" ref="AP75:AP104" si="144">-($B$12*$B$11)/$B$8*I40</f>
        <v>-1000389529.0927753</v>
      </c>
      <c r="AQ75" s="2">
        <f t="shared" ref="AQ75:AQ104" si="145">-($B$12*$B$11)/$B$8*J40</f>
        <v>-962772676.4079268</v>
      </c>
      <c r="AR75" s="2">
        <f t="shared" ref="AR75:AR104" si="146">-($B$12*$B$11)/$B$8*K40</f>
        <v>-925617009.21052825</v>
      </c>
      <c r="AS75" s="2">
        <f t="shared" ref="AS75:AS104" si="147">-($B$12*$B$11)/$B$8*L40</f>
        <v>-889068195.13324499</v>
      </c>
      <c r="AT75" s="2">
        <f t="shared" ref="AT75:AT104" si="148">-($B$12*$B$11)/$B$8*M40</f>
        <v>-853265115.94538689</v>
      </c>
      <c r="AU75" s="2">
        <f t="shared" ref="AU75:AU104" si="149">-($B$12*$B$11)/$B$8*N40</f>
        <v>-818338323.29710126</v>
      </c>
      <c r="AV75" s="2">
        <f t="shared" ref="AV75:AV104" si="150">-($B$12*$B$11)/$B$8*O40</f>
        <v>-784408592.72140324</v>
      </c>
      <c r="AW75" s="2">
        <f t="shared" ref="AW75:AW104" si="151">-($B$12*$B$11)/$B$8*P40</f>
        <v>-751585592.41994786</v>
      </c>
      <c r="AX75" s="2">
        <f t="shared" ref="AX75:AX104" si="152">-($B$12*$B$11)/$B$8*Q40</f>
        <v>-719966681.76432407</v>
      </c>
      <c r="AY75" s="2">
        <f t="shared" ref="AY75:AY104" si="153">-($B$12*$B$11)/$B$8*R40</f>
        <v>-689635852.67194152</v>
      </c>
      <c r="AZ75" s="2">
        <f t="shared" ref="AZ75:AZ104" si="154">-($B$12*$B$11)/$B$8*S40</f>
        <v>-660662825.09916246</v>
      </c>
      <c r="BA75" s="2">
        <f t="shared" ref="BA75:BA104" si="155">-($B$12*$B$11)/$B$8*T40</f>
        <v>-633102305.87062514</v>
      </c>
      <c r="BB75" s="2">
        <f t="shared" ref="BB75:BB104" si="156">-($B$12*$B$11)/$B$8*U40</f>
        <v>-606993417.96955144</v>
      </c>
      <c r="BC75" s="2">
        <f t="shared" ref="BC75:BC104" si="157">-($B$12*$B$11)/$B$8*V40</f>
        <v>-582359305.28550208</v>
      </c>
      <c r="BD75" s="2">
        <f t="shared" ref="BD75:BD104" si="158">-($B$12*$B$11)/$B$8*W40</f>
        <v>-559206915.68819916</v>
      </c>
      <c r="BE75" s="2">
        <f t="shared" ref="BE75:BE104" si="159">-($B$12*$B$11)/$B$8*X40</f>
        <v>-537526963.20091712</v>
      </c>
      <c r="BF75" s="2">
        <f t="shared" ref="BF75:BF104" si="160">-($B$12*$B$11)/$B$8*Y40</f>
        <v>-517294068.01358443</v>
      </c>
      <c r="BG75" s="2">
        <f t="shared" ref="BG75:BG104" si="161">-($B$12*$B$11)/$B$8*Z40</f>
        <v>-498467071.12941599</v>
      </c>
      <c r="BH75" s="2">
        <f t="shared" ref="BH75:BH104" si="162">-($B$12*$B$11)/$B$8*AA40</f>
        <v>-480989518.60071981</v>
      </c>
      <c r="BI75" s="2">
        <f t="shared" ref="BI75:BI104" si="163">-($B$12*$B$11)/$B$8*AB40</f>
        <v>-464790308.59624922</v>
      </c>
      <c r="BJ75" s="2">
        <f t="shared" ref="BJ75:BJ104" si="164">-($B$12*$B$11)/$B$8*AC40</f>
        <v>-449784492.96644408</v>
      </c>
      <c r="BK75" s="2">
        <f t="shared" ref="BK75:BK104" si="165">-($B$12*$B$11)/$B$8*AD40</f>
        <v>-435874223.54223347</v>
      </c>
      <c r="BL75" s="2">
        <f t="shared" ref="BL75:BL104" si="166">-($B$12*$B$11)/$B$8*AE40</f>
        <v>-422949832.12194687</v>
      </c>
      <c r="BM75" s="2">
        <f t="shared" ref="BM75:BM104" si="167">-($B$12*$B$11)/$B$8*AF40</f>
        <v>-410891031.97002226</v>
      </c>
      <c r="BN75" s="2">
        <f t="shared" ref="BN75:BN104" si="168">-($B$12*$B$11)/$B$8*AG40</f>
        <v>-399568227.668441</v>
      </c>
      <c r="BO75" s="2">
        <f t="shared" ref="BO75:BO104" si="169">-($B$12*$B$11)/$B$8*AH40</f>
        <v>-388843919.32276773</v>
      </c>
      <c r="BP75" s="2">
        <f t="shared" ref="BP75:BP104" si="170">-($B$12*$B$11)/$B$8*AI40</f>
        <v>-378574186.4233948</v>
      </c>
      <c r="BQ75" s="2">
        <f t="shared" ref="BQ75:BQ104" si="171">-($B$12*$B$11)/$B$8*AJ40</f>
        <v>-368610236.09235442</v>
      </c>
      <c r="BR75" s="2">
        <f t="shared" ref="BR75:BR104" si="172">-($B$12*$B$11)/$B$8*AK40</f>
        <v>-358800000</v>
      </c>
      <c r="BT75" s="16"/>
      <c r="BU75" s="37">
        <v>9.6666666666666679E-2</v>
      </c>
      <c r="BV75" s="2">
        <f t="shared" ref="BV75:BV103" si="173">$B$20/($B$21-$B$22*BV76)</f>
        <v>0.40647187995004247</v>
      </c>
      <c r="BW75" s="2">
        <f t="shared" ref="BW75:BW103" si="174">$B$20/($B$21-$B$22*BW76)</f>
        <v>0.40647187995004247</v>
      </c>
      <c r="BX75" s="2">
        <f t="shared" ref="BX75:BX103" si="175">$B$20/($B$21-$B$22*BX76)</f>
        <v>0.40647187995004247</v>
      </c>
      <c r="BY75" s="2">
        <f t="shared" ref="BY75:BY103" si="176">$B$20/($B$21-$B$22*BY76)</f>
        <v>0.40647187995004247</v>
      </c>
      <c r="BZ75" s="2">
        <f t="shared" ref="BZ75:BZ103" si="177">$B$20/($B$21-$B$22*BZ76)</f>
        <v>0.40647187995004247</v>
      </c>
      <c r="CA75" s="2">
        <f t="shared" ref="CA75:CA103" si="178">$B$20/($B$21-$B$22*CA76)</f>
        <v>0.40647187995004247</v>
      </c>
      <c r="CB75" s="2">
        <f t="shared" ref="CB75:CB103" si="179">$B$20/($B$21-$B$22*CB76)</f>
        <v>0.40647187995004247</v>
      </c>
      <c r="CC75" s="2">
        <f t="shared" ref="CC75:CC103" si="180">$B$20/($B$21-$B$22*CC76)</f>
        <v>0.40647187995004247</v>
      </c>
      <c r="CD75" s="2">
        <f t="shared" ref="CD75:CD103" si="181">$B$20/($B$21-$B$22*CD76)</f>
        <v>0.40647187995004247</v>
      </c>
      <c r="CE75" s="2">
        <f t="shared" ref="CE75:CE103" si="182">$B$20/($B$21-$B$22*CE76)</f>
        <v>0.40647187995004247</v>
      </c>
      <c r="CF75" s="2">
        <f t="shared" ref="CF75:CF103" si="183">$B$20/($B$21-$B$22*CF76)</f>
        <v>0.40647187995004247</v>
      </c>
      <c r="CG75" s="2">
        <f t="shared" ref="CG75:CG103" si="184">$B$20/($B$21-$B$22*CG76)</f>
        <v>0.40647187995004247</v>
      </c>
      <c r="CH75" s="2">
        <f t="shared" ref="CH75:CH103" si="185">$B$20/($B$21-$B$22*CH76)</f>
        <v>0.40647187995004247</v>
      </c>
      <c r="CI75" s="2">
        <f t="shared" ref="CI75:CI103" si="186">$B$20/($B$21-$B$22*CI76)</f>
        <v>0.40647187995004247</v>
      </c>
      <c r="CJ75" s="2">
        <f t="shared" ref="CJ75:CJ103" si="187">$B$20/($B$21-$B$22*CJ76)</f>
        <v>0.40647187995004247</v>
      </c>
      <c r="CK75" s="2">
        <f t="shared" ref="CK75:CK103" si="188">$B$20/($B$21-$B$22*CK76)</f>
        <v>0.40647187995004247</v>
      </c>
      <c r="CL75" s="2">
        <f t="shared" ref="CL75:CL103" si="189">$B$20/($B$21-$B$22*CL76)</f>
        <v>0.40647187995004247</v>
      </c>
      <c r="CM75" s="2">
        <f t="shared" ref="CM75:CM103" si="190">$B$20/($B$21-$B$22*CM76)</f>
        <v>0.40647187995004247</v>
      </c>
      <c r="CN75" s="2">
        <f t="shared" ref="CN75:CN103" si="191">$B$20/($B$21-$B$22*CN76)</f>
        <v>0.40647187995004247</v>
      </c>
      <c r="CO75" s="2">
        <f t="shared" ref="CO75:CO103" si="192">$B$20/($B$21-$B$22*CO76)</f>
        <v>0.40647187995004247</v>
      </c>
      <c r="CP75" s="2">
        <f t="shared" ref="CP75:CP103" si="193">$B$20/($B$21-$B$22*CP76)</f>
        <v>0.40647187995004247</v>
      </c>
      <c r="CQ75" s="2">
        <f t="shared" ref="CQ75:CQ103" si="194">$B$20/($B$21-$B$22*CQ76)</f>
        <v>0.40647187995004247</v>
      </c>
      <c r="CR75" s="2">
        <f t="shared" ref="CR75:CR103" si="195">$B$20/($B$21-$B$22*CR76)</f>
        <v>0.40647187995004247</v>
      </c>
      <c r="CS75" s="2">
        <f t="shared" ref="CS75:CS103" si="196">$B$20/($B$21-$B$22*CS76)</f>
        <v>0.40647187995004247</v>
      </c>
      <c r="CT75" s="2">
        <f t="shared" ref="CT75:CT103" si="197">$B$20/($B$21-$B$22*CT76)</f>
        <v>0.40647187995004247</v>
      </c>
      <c r="CU75" s="2">
        <f t="shared" ref="CU75:CU103" si="198">$B$20/($B$21-$B$22*CU76)</f>
        <v>0.40647187995004247</v>
      </c>
      <c r="CV75" s="2">
        <f t="shared" ref="CV75:CV103" si="199">$B$20/($B$21-$B$22*CV76)</f>
        <v>0.40647187995004247</v>
      </c>
      <c r="CW75" s="2">
        <f t="shared" ref="CW75:CW103" si="200">$B$20/($B$21-$B$22*CW76)</f>
        <v>0.40647187995004247</v>
      </c>
      <c r="CX75" s="2">
        <f t="shared" ref="CX75:CX103" si="201">$B$20/($B$21-$B$22*CX76)</f>
        <v>0.40647187995004247</v>
      </c>
      <c r="CY75" s="2">
        <f t="shared" ref="CY75:CY103" si="202">$B$20/($B$21-$B$22*CY76)</f>
        <v>0.40647187995004247</v>
      </c>
      <c r="CZ75" s="2">
        <f t="shared" ref="CZ75:CZ103" si="203">$B$20/($B$21-$B$22*CZ76)</f>
        <v>0.40647187995004247</v>
      </c>
      <c r="DB75" s="16"/>
      <c r="DC75" s="37">
        <v>9.6666666666666679E-2</v>
      </c>
      <c r="DD75" s="2">
        <f t="shared" ref="DD75:DD103" si="204">(DD76*$B$22-AN75)/($B$21-$B$22*BV76)</f>
        <v>178.05843601498725</v>
      </c>
      <c r="DE75" s="2">
        <f t="shared" ref="DE75:DE103" si="205">(DE76*$B$22-AO75)/($B$21-$B$22*BW76)</f>
        <v>171.75869056389169</v>
      </c>
      <c r="DF75" s="2">
        <f t="shared" ref="DF75:DF103" si="206">(DF76*$B$22-AP75)/($B$21-$B$22*BX76)</f>
        <v>165.48475934227909</v>
      </c>
      <c r="DG75" s="2">
        <f t="shared" ref="DG75:DG103" si="207">(DG76*$B$22-AQ75)/($B$21-$B$22*BY76)</f>
        <v>159.2621674091034</v>
      </c>
      <c r="DH75" s="2">
        <f t="shared" ref="DH75:DH103" si="208">(DH76*$B$22-AR75)/($B$21-$B$22*BZ76)</f>
        <v>153.11586492836932</v>
      </c>
      <c r="DI75" s="2">
        <f t="shared" ref="DI75:DI103" si="209">(DI76*$B$22-AS75)/($B$21-$B$22*CA76)</f>
        <v>147.06994828696875</v>
      </c>
      <c r="DJ75" s="2">
        <f t="shared" ref="DJ75:DJ103" si="210">(DJ76*$B$22-AT75)/($B$21-$B$22*CB76)</f>
        <v>141.14739135208319</v>
      </c>
      <c r="DK75" s="2">
        <f t="shared" ref="DK75:DK103" si="211">(DK76*$B$22-AU75)/($B$21-$B$22*CC76)</f>
        <v>135.36979001988934</v>
      </c>
      <c r="DL75" s="2">
        <f t="shared" ref="DL75:DL103" si="212">(DL76*$B$22-AV75)/($B$21-$B$22*CD76)</f>
        <v>129.75712301810685</v>
      </c>
      <c r="DM75" s="2">
        <f t="shared" ref="DM75:DM103" si="213">(DM76*$B$22-AW75)/($B$21-$B$22*CE76)</f>
        <v>124.32753169611074</v>
      </c>
      <c r="DN75" s="2">
        <f t="shared" ref="DN75:DN103" si="214">(DN76*$B$22-AX75)/($B$21-$B$22*CF76)</f>
        <v>119.09712127262691</v>
      </c>
      <c r="DO75" s="2">
        <f t="shared" ref="DO75:DO103" si="215">(DO76*$B$22-AY75)/($B$21-$B$22*CG76)</f>
        <v>114.07978571778902</v>
      </c>
      <c r="DP75" s="2">
        <f t="shared" ref="DP75:DP103" si="216">(DP76*$B$22-AZ75)/($B$21-$B$22*CH76)</f>
        <v>109.2870581293199</v>
      </c>
      <c r="DQ75" s="2">
        <f t="shared" ref="DQ75:DQ103" si="217">(DQ76*$B$22-BA75)/($B$21-$B$22*CI76)</f>
        <v>104.72798812783873</v>
      </c>
      <c r="DR75" s="2">
        <f t="shared" ref="DR75:DR103" si="218">(DR76*$B$22-BB75)/($B$21-$B$22*CJ76)</f>
        <v>100.40904744987907</v>
      </c>
      <c r="DS75" s="2">
        <f t="shared" ref="DS75:DS103" si="219">(DS76*$B$22-BC75)/($B$21-$B$22*CK76)</f>
        <v>96.334064565134724</v>
      </c>
      <c r="DT75" s="2">
        <f t="shared" ref="DT75:DT103" si="220">(DT76*$B$22-BD75)/($B$21-$B$22*CL76)</f>
        <v>92.504188792461534</v>
      </c>
      <c r="DU75" s="2">
        <f t="shared" ref="DU75:DU103" si="221">(DU76*$B$22-BE75)/($B$21-$B$22*CM76)</f>
        <v>88.917884042587261</v>
      </c>
      <c r="DV75" s="2">
        <f t="shared" ref="DV75:DV103" si="222">(DV76*$B$22-BF75)/($B$21-$B$22*CN76)</f>
        <v>85.570951979124217</v>
      </c>
      <c r="DW75" s="2">
        <f t="shared" ref="DW75:DW103" si="223">(DW76*$B$22-BG75)/($B$21-$B$22*CO76)</f>
        <v>82.456584067516943</v>
      </c>
      <c r="DX75" s="2">
        <f t="shared" ref="DX75:DX103" si="224">(DX76*$B$22-BH75)/($B$21-$B$22*CP76)</f>
        <v>79.565441677485865</v>
      </c>
      <c r="DY75" s="2">
        <f t="shared" ref="DY75:DY103" si="225">(DY76*$B$22-BI75)/($B$21-$B$22*CQ76)</f>
        <v>76.885763121118003</v>
      </c>
      <c r="DZ75" s="2">
        <f t="shared" ref="DZ75:DZ103" si="226">(DZ76*$B$22-BJ75)/($B$21-$B$22*CR76)</f>
        <v>74.403496248048185</v>
      </c>
      <c r="EA75" s="2">
        <f t="shared" ref="EA75:EA103" si="227">(EA76*$B$22-BK75)/($B$21-$B$22*CS76)</f>
        <v>72.102454982513024</v>
      </c>
      <c r="EB75" s="2">
        <f t="shared" ref="EB75:EB103" si="228">(EB76*$B$22-BL75)/($B$21-$B$22*CT76)</f>
        <v>69.964497975134975</v>
      </c>
      <c r="EC75" s="2">
        <f t="shared" ref="EC75:EC103" si="229">(EC76*$B$22-BM75)/($B$21-$B$22*CU76)</f>
        <v>67.969727355226951</v>
      </c>
      <c r="ED75" s="2">
        <f t="shared" ref="ED75:ED103" si="230">(ED76*$B$22-BN75)/($B$21-$B$22*CV76)</f>
        <v>66.096705406840371</v>
      </c>
      <c r="EE75" s="2">
        <f t="shared" ref="EE75:EE103" si="231">(EE76*$B$22-BO75)/($B$21-$B$22*CW76)</f>
        <v>64.322686852982073</v>
      </c>
      <c r="EF75" s="2">
        <f t="shared" ref="EF75:EF103" si="232">(EF76*$B$22-BP75)/($B$21-$B$22*CX76)</f>
        <v>62.623864316421312</v>
      </c>
      <c r="EG75" s="2">
        <f t="shared" ref="EG75:EG103" si="233">(EG76*$B$22-BQ75)/($B$21-$B$22*CY76)</f>
        <v>60.975624431177856</v>
      </c>
      <c r="EH75" s="2">
        <f t="shared" ref="EH75:EH103" si="234">(EH76*$B$22-BR75)/($B$21-$B$22*CZ76)</f>
        <v>59.352812004995762</v>
      </c>
    </row>
    <row r="76" spans="5:138">
      <c r="E76" s="18"/>
      <c r="F76" s="37">
        <v>9.3333333333333338E-2</v>
      </c>
      <c r="G76" s="2">
        <f t="shared" si="139"/>
        <v>300</v>
      </c>
      <c r="H76" s="2">
        <f t="shared" ref="H76:H104" si="235">BW76*H75+DE76</f>
        <v>289.38593600154053</v>
      </c>
      <c r="I76" s="2">
        <f t="shared" ref="I76:I104" si="236">BX76*I75+DF76</f>
        <v>278.81536485305895</v>
      </c>
      <c r="J76" s="2">
        <f t="shared" ref="J76:J104" si="237">BY76*J75+DG76</f>
        <v>268.33129219841885</v>
      </c>
      <c r="K76" s="2">
        <f t="shared" ref="K76:K104" si="238">BZ76*K75+DH76</f>
        <v>257.97575507539807</v>
      </c>
      <c r="L76" s="2">
        <f t="shared" ref="L76:L104" si="239">CA76*L75+DI76</f>
        <v>247.78935204382532</v>
      </c>
      <c r="M76" s="2">
        <f t="shared" ref="M76:M104" si="240">CB76*M75+DJ76</f>
        <v>237.81079039726501</v>
      </c>
      <c r="N76" s="2">
        <f t="shared" ref="N76:N104" si="241">CC76*N75+DK76</f>
        <v>228.07645576842287</v>
      </c>
      <c r="O76" s="2">
        <f t="shared" ref="O76:O104" si="242">CD76*O75+DL76</f>
        <v>218.62000911967766</v>
      </c>
      <c r="P76" s="2">
        <f t="shared" ref="P76:P104" si="243">CE76*P75+DM76</f>
        <v>209.47201572462319</v>
      </c>
      <c r="Q76" s="2">
        <f t="shared" ref="Q76:Q104" si="244">CF76*Q75+DN76</f>
        <v>200.65961030220848</v>
      </c>
      <c r="R76" s="2">
        <f t="shared" ref="R76:R104" si="245">CG76*R75+DO76</f>
        <v>192.20620197099822</v>
      </c>
      <c r="S76" s="2">
        <f t="shared" ref="S76:S104" si="246">CH76*S75+DP76</f>
        <v>184.13122215695722</v>
      </c>
      <c r="T76" s="2">
        <f t="shared" ref="T76:T104" si="247">CI76*T75+DQ76</f>
        <v>176.44991802414302</v>
      </c>
      <c r="U76" s="2">
        <f t="shared" ref="U76:U104" si="248">CJ76*U75+DR76</f>
        <v>169.17319341403334</v>
      </c>
      <c r="V76" s="2">
        <f t="shared" ref="V76:V104" si="249">CK76*V75+DS76</f>
        <v>162.30749868603738</v>
      </c>
      <c r="W76" s="2">
        <f t="shared" ref="W76:W104" si="250">CL76*W75+DT76</f>
        <v>155.85477025869542</v>
      </c>
      <c r="X76" s="2">
        <f t="shared" ref="X76:X104" si="251">CM76*X75+DU76</f>
        <v>149.81242006714524</v>
      </c>
      <c r="Y76" s="2">
        <f t="shared" ref="Y76:Y104" si="252">CN76*Y75+DV76</f>
        <v>144.1733745857259</v>
      </c>
      <c r="Z76" s="2">
        <f t="shared" ref="Z76:Z104" si="253">CO76*Z75+DW76</f>
        <v>138.92616252213378</v>
      </c>
      <c r="AA76" s="2">
        <f t="shared" ref="AA76:AA104" si="254">CP76*AA75+DX76</f>
        <v>134.05504977723515</v>
      </c>
      <c r="AB76" s="2">
        <f t="shared" ref="AB76:AB104" si="255">CQ76*AB75+DY76</f>
        <v>129.54021978713746</v>
      </c>
      <c r="AC76" s="2">
        <f t="shared" ref="AC76:AC104" si="256">CR76*AC75+DZ76</f>
        <v>125.35799692487292</v>
      </c>
      <c r="AD76" s="2">
        <f t="shared" ref="AD76:AD104" si="257">CS76*AD75+EA76</f>
        <v>121.4811102403103</v>
      </c>
      <c r="AE76" s="2">
        <f t="shared" ref="AE76:AE104" si="258">CT76*AE75+EB76</f>
        <v>117.87899445985141</v>
      </c>
      <c r="AF76" s="2">
        <f t="shared" ref="AF76:AF104" si="259">CU76*AF75+EC76</f>
        <v>114.51812485229158</v>
      </c>
      <c r="AG76" s="2">
        <f t="shared" ref="AG76:AG104" si="260">CV76*AG75+ED76</f>
        <v>111.36238229332247</v>
      </c>
      <c r="AH76" s="2">
        <f t="shared" ref="AH76:AH104" si="261">CW76*AH75+EE76</f>
        <v>108.37344462730427</v>
      </c>
      <c r="AI76" s="2">
        <f t="shared" ref="AI76:AI104" si="262">CX76*AI75+EF76</f>
        <v>105.51120022948572</v>
      </c>
      <c r="AJ76" s="2">
        <f t="shared" ref="AJ76:AJ104" si="263">CY76*AJ75+EG76</f>
        <v>102.7341795129193</v>
      </c>
      <c r="AK76" s="2">
        <f t="shared" si="141"/>
        <v>100</v>
      </c>
      <c r="AL76" s="16"/>
      <c r="AM76" s="37">
        <v>9.3333333333333338E-2</v>
      </c>
      <c r="AN76" s="2">
        <f t="shared" si="142"/>
        <v>-1076400000</v>
      </c>
      <c r="AO76" s="2">
        <f t="shared" si="143"/>
        <v>-1038316738.3735274</v>
      </c>
      <c r="AP76" s="2">
        <f t="shared" si="144"/>
        <v>-1000389529.0927753</v>
      </c>
      <c r="AQ76" s="2">
        <f t="shared" si="145"/>
        <v>-962772676.4079268</v>
      </c>
      <c r="AR76" s="2">
        <f t="shared" si="146"/>
        <v>-925617009.21052825</v>
      </c>
      <c r="AS76" s="2">
        <f t="shared" si="147"/>
        <v>-889068195.13324499</v>
      </c>
      <c r="AT76" s="2">
        <f t="shared" si="148"/>
        <v>-853265115.94538689</v>
      </c>
      <c r="AU76" s="2">
        <f t="shared" si="149"/>
        <v>-818338323.29710126</v>
      </c>
      <c r="AV76" s="2">
        <f t="shared" si="150"/>
        <v>-784408592.72140324</v>
      </c>
      <c r="AW76" s="2">
        <f t="shared" si="151"/>
        <v>-751585592.41994786</v>
      </c>
      <c r="AX76" s="2">
        <f t="shared" si="152"/>
        <v>-719966681.76432407</v>
      </c>
      <c r="AY76" s="2">
        <f t="shared" si="153"/>
        <v>-689635852.67194152</v>
      </c>
      <c r="AZ76" s="2">
        <f t="shared" si="154"/>
        <v>-660662825.09916246</v>
      </c>
      <c r="BA76" s="2">
        <f t="shared" si="155"/>
        <v>-633102305.87062514</v>
      </c>
      <c r="BB76" s="2">
        <f t="shared" si="156"/>
        <v>-606993417.96955144</v>
      </c>
      <c r="BC76" s="2">
        <f t="shared" si="157"/>
        <v>-582359305.28550208</v>
      </c>
      <c r="BD76" s="2">
        <f t="shared" si="158"/>
        <v>-559206915.68819916</v>
      </c>
      <c r="BE76" s="2">
        <f t="shared" si="159"/>
        <v>-537526963.20091712</v>
      </c>
      <c r="BF76" s="2">
        <f t="shared" si="160"/>
        <v>-517294068.01358443</v>
      </c>
      <c r="BG76" s="2">
        <f t="shared" si="161"/>
        <v>-498467071.12941599</v>
      </c>
      <c r="BH76" s="2">
        <f t="shared" si="162"/>
        <v>-480989518.60071981</v>
      </c>
      <c r="BI76" s="2">
        <f t="shared" si="163"/>
        <v>-464790308.59624922</v>
      </c>
      <c r="BJ76" s="2">
        <f t="shared" si="164"/>
        <v>-449784492.96644408</v>
      </c>
      <c r="BK76" s="2">
        <f t="shared" si="165"/>
        <v>-435874223.54223347</v>
      </c>
      <c r="BL76" s="2">
        <f t="shared" si="166"/>
        <v>-422949832.12194687</v>
      </c>
      <c r="BM76" s="2">
        <f t="shared" si="167"/>
        <v>-410891031.97002226</v>
      </c>
      <c r="BN76" s="2">
        <f t="shared" si="168"/>
        <v>-399568227.668441</v>
      </c>
      <c r="BO76" s="2">
        <f t="shared" si="169"/>
        <v>-388843919.32276773</v>
      </c>
      <c r="BP76" s="2">
        <f t="shared" si="170"/>
        <v>-378574186.4233948</v>
      </c>
      <c r="BQ76" s="2">
        <f t="shared" si="171"/>
        <v>-368610236.09235442</v>
      </c>
      <c r="BR76" s="2">
        <f t="shared" si="172"/>
        <v>-358800000</v>
      </c>
      <c r="BT76" s="16"/>
      <c r="BU76" s="37">
        <v>9.3333333333333338E-2</v>
      </c>
      <c r="BV76" s="2">
        <f t="shared" si="173"/>
        <v>0.40647187995004247</v>
      </c>
      <c r="BW76" s="2">
        <f t="shared" si="174"/>
        <v>0.40647187995004247</v>
      </c>
      <c r="BX76" s="2">
        <f t="shared" si="175"/>
        <v>0.40647187995004247</v>
      </c>
      <c r="BY76" s="2">
        <f t="shared" si="176"/>
        <v>0.40647187995004247</v>
      </c>
      <c r="BZ76" s="2">
        <f t="shared" si="177"/>
        <v>0.40647187995004247</v>
      </c>
      <c r="CA76" s="2">
        <f t="shared" si="178"/>
        <v>0.40647187995004247</v>
      </c>
      <c r="CB76" s="2">
        <f t="shared" si="179"/>
        <v>0.40647187995004247</v>
      </c>
      <c r="CC76" s="2">
        <f t="shared" si="180"/>
        <v>0.40647187995004247</v>
      </c>
      <c r="CD76" s="2">
        <f t="shared" si="181"/>
        <v>0.40647187995004247</v>
      </c>
      <c r="CE76" s="2">
        <f t="shared" si="182"/>
        <v>0.40647187995004247</v>
      </c>
      <c r="CF76" s="2">
        <f t="shared" si="183"/>
        <v>0.40647187995004247</v>
      </c>
      <c r="CG76" s="2">
        <f t="shared" si="184"/>
        <v>0.40647187995004247</v>
      </c>
      <c r="CH76" s="2">
        <f t="shared" si="185"/>
        <v>0.40647187995004247</v>
      </c>
      <c r="CI76" s="2">
        <f t="shared" si="186"/>
        <v>0.40647187995004247</v>
      </c>
      <c r="CJ76" s="2">
        <f t="shared" si="187"/>
        <v>0.40647187995004247</v>
      </c>
      <c r="CK76" s="2">
        <f t="shared" si="188"/>
        <v>0.40647187995004247</v>
      </c>
      <c r="CL76" s="2">
        <f t="shared" si="189"/>
        <v>0.40647187995004247</v>
      </c>
      <c r="CM76" s="2">
        <f t="shared" si="190"/>
        <v>0.40647187995004247</v>
      </c>
      <c r="CN76" s="2">
        <f t="shared" si="191"/>
        <v>0.40647187995004247</v>
      </c>
      <c r="CO76" s="2">
        <f t="shared" si="192"/>
        <v>0.40647187995004247</v>
      </c>
      <c r="CP76" s="2">
        <f t="shared" si="193"/>
        <v>0.40647187995004247</v>
      </c>
      <c r="CQ76" s="2">
        <f t="shared" si="194"/>
        <v>0.40647187995004247</v>
      </c>
      <c r="CR76" s="2">
        <f t="shared" si="195"/>
        <v>0.40647187995004247</v>
      </c>
      <c r="CS76" s="2">
        <f t="shared" si="196"/>
        <v>0.40647187995004247</v>
      </c>
      <c r="CT76" s="2">
        <f t="shared" si="197"/>
        <v>0.40647187995004247</v>
      </c>
      <c r="CU76" s="2">
        <f t="shared" si="198"/>
        <v>0.40647187995004247</v>
      </c>
      <c r="CV76" s="2">
        <f t="shared" si="199"/>
        <v>0.40647187995004247</v>
      </c>
      <c r="CW76" s="2">
        <f t="shared" si="200"/>
        <v>0.40647187995004247</v>
      </c>
      <c r="CX76" s="2">
        <f t="shared" si="201"/>
        <v>0.40647187995004247</v>
      </c>
      <c r="CY76" s="2">
        <f t="shared" si="202"/>
        <v>0.40647187995004247</v>
      </c>
      <c r="CZ76" s="2">
        <f t="shared" si="203"/>
        <v>0.40647187995004247</v>
      </c>
      <c r="DB76" s="16"/>
      <c r="DC76" s="37">
        <v>9.3333333333333338E-2</v>
      </c>
      <c r="DD76" s="2">
        <f t="shared" si="204"/>
        <v>178.05843601498725</v>
      </c>
      <c r="DE76" s="2">
        <f t="shared" si="205"/>
        <v>171.75869056389169</v>
      </c>
      <c r="DF76" s="2">
        <f t="shared" si="206"/>
        <v>165.48475934227909</v>
      </c>
      <c r="DG76" s="2">
        <f t="shared" si="207"/>
        <v>159.2621674091034</v>
      </c>
      <c r="DH76" s="2">
        <f t="shared" si="208"/>
        <v>153.11586492836932</v>
      </c>
      <c r="DI76" s="2">
        <f t="shared" si="209"/>
        <v>147.06994828696875</v>
      </c>
      <c r="DJ76" s="2">
        <f t="shared" si="210"/>
        <v>141.14739135208319</v>
      </c>
      <c r="DK76" s="2">
        <f t="shared" si="211"/>
        <v>135.36979001988934</v>
      </c>
      <c r="DL76" s="2">
        <f t="shared" si="212"/>
        <v>129.75712301810685</v>
      </c>
      <c r="DM76" s="2">
        <f t="shared" si="213"/>
        <v>124.32753169611074</v>
      </c>
      <c r="DN76" s="2">
        <f t="shared" si="214"/>
        <v>119.09712127262691</v>
      </c>
      <c r="DO76" s="2">
        <f t="shared" si="215"/>
        <v>114.07978571778902</v>
      </c>
      <c r="DP76" s="2">
        <f t="shared" si="216"/>
        <v>109.2870581293199</v>
      </c>
      <c r="DQ76" s="2">
        <f t="shared" si="217"/>
        <v>104.72798812783873</v>
      </c>
      <c r="DR76" s="2">
        <f t="shared" si="218"/>
        <v>100.40904744987907</v>
      </c>
      <c r="DS76" s="2">
        <f t="shared" si="219"/>
        <v>96.334064565134724</v>
      </c>
      <c r="DT76" s="2">
        <f t="shared" si="220"/>
        <v>92.504188792461534</v>
      </c>
      <c r="DU76" s="2">
        <f t="shared" si="221"/>
        <v>88.917884042587261</v>
      </c>
      <c r="DV76" s="2">
        <f t="shared" si="222"/>
        <v>85.570951979124217</v>
      </c>
      <c r="DW76" s="2">
        <f t="shared" si="223"/>
        <v>82.456584067516943</v>
      </c>
      <c r="DX76" s="2">
        <f t="shared" si="224"/>
        <v>79.565441677485865</v>
      </c>
      <c r="DY76" s="2">
        <f t="shared" si="225"/>
        <v>76.885763121118003</v>
      </c>
      <c r="DZ76" s="2">
        <f t="shared" si="226"/>
        <v>74.403496248048185</v>
      </c>
      <c r="EA76" s="2">
        <f t="shared" si="227"/>
        <v>72.102454982513024</v>
      </c>
      <c r="EB76" s="2">
        <f t="shared" si="228"/>
        <v>69.964497975134975</v>
      </c>
      <c r="EC76" s="2">
        <f t="shared" si="229"/>
        <v>67.969727355226951</v>
      </c>
      <c r="ED76" s="2">
        <f t="shared" si="230"/>
        <v>66.096705406840371</v>
      </c>
      <c r="EE76" s="2">
        <f t="shared" si="231"/>
        <v>64.322686852982073</v>
      </c>
      <c r="EF76" s="2">
        <f t="shared" si="232"/>
        <v>62.623864316421312</v>
      </c>
      <c r="EG76" s="2">
        <f t="shared" si="233"/>
        <v>60.975624431177856</v>
      </c>
      <c r="EH76" s="2">
        <f t="shared" si="234"/>
        <v>59.352812004995762</v>
      </c>
    </row>
    <row r="77" spans="5:138">
      <c r="E77" s="18"/>
      <c r="F77" s="37">
        <v>9.0000000000000011E-2</v>
      </c>
      <c r="G77" s="2">
        <f t="shared" si="139"/>
        <v>300</v>
      </c>
      <c r="H77" s="2">
        <f t="shared" si="235"/>
        <v>289.38593600154053</v>
      </c>
      <c r="I77" s="2">
        <f t="shared" si="236"/>
        <v>278.81536485305895</v>
      </c>
      <c r="J77" s="2">
        <f t="shared" si="237"/>
        <v>268.33129219841885</v>
      </c>
      <c r="K77" s="2">
        <f t="shared" si="238"/>
        <v>257.97575507539807</v>
      </c>
      <c r="L77" s="2">
        <f t="shared" si="239"/>
        <v>247.78935204382532</v>
      </c>
      <c r="M77" s="2">
        <f t="shared" si="240"/>
        <v>237.81079039726501</v>
      </c>
      <c r="N77" s="2">
        <f t="shared" si="241"/>
        <v>228.07645576842287</v>
      </c>
      <c r="O77" s="2">
        <f t="shared" si="242"/>
        <v>218.62000911967766</v>
      </c>
      <c r="P77" s="2">
        <f t="shared" si="243"/>
        <v>209.47201572462319</v>
      </c>
      <c r="Q77" s="2">
        <f t="shared" si="244"/>
        <v>200.65961030220848</v>
      </c>
      <c r="R77" s="2">
        <f t="shared" si="245"/>
        <v>192.20620197099822</v>
      </c>
      <c r="S77" s="2">
        <f t="shared" si="246"/>
        <v>184.13122215695722</v>
      </c>
      <c r="T77" s="2">
        <f t="shared" si="247"/>
        <v>176.44991802414302</v>
      </c>
      <c r="U77" s="2">
        <f t="shared" si="248"/>
        <v>169.17319341403334</v>
      </c>
      <c r="V77" s="2">
        <f t="shared" si="249"/>
        <v>162.30749868603738</v>
      </c>
      <c r="W77" s="2">
        <f t="shared" si="250"/>
        <v>155.85477025869542</v>
      </c>
      <c r="X77" s="2">
        <f t="shared" si="251"/>
        <v>149.81242006714524</v>
      </c>
      <c r="Y77" s="2">
        <f t="shared" si="252"/>
        <v>144.1733745857259</v>
      </c>
      <c r="Z77" s="2">
        <f t="shared" si="253"/>
        <v>138.92616252213378</v>
      </c>
      <c r="AA77" s="2">
        <f t="shared" si="254"/>
        <v>134.05504977723515</v>
      </c>
      <c r="AB77" s="2">
        <f t="shared" si="255"/>
        <v>129.54021978713746</v>
      </c>
      <c r="AC77" s="2">
        <f t="shared" si="256"/>
        <v>125.35799692487292</v>
      </c>
      <c r="AD77" s="2">
        <f t="shared" si="257"/>
        <v>121.4811102403103</v>
      </c>
      <c r="AE77" s="2">
        <f t="shared" si="258"/>
        <v>117.87899445985141</v>
      </c>
      <c r="AF77" s="2">
        <f t="shared" si="259"/>
        <v>114.51812485229158</v>
      </c>
      <c r="AG77" s="2">
        <f t="shared" si="260"/>
        <v>111.36238229332247</v>
      </c>
      <c r="AH77" s="2">
        <f t="shared" si="261"/>
        <v>108.37344462730427</v>
      </c>
      <c r="AI77" s="2">
        <f t="shared" si="262"/>
        <v>105.51120022948572</v>
      </c>
      <c r="AJ77" s="2">
        <f t="shared" si="263"/>
        <v>102.7341795129193</v>
      </c>
      <c r="AK77" s="2">
        <f t="shared" si="141"/>
        <v>100</v>
      </c>
      <c r="AL77" s="16"/>
      <c r="AM77" s="37">
        <v>9.0000000000000011E-2</v>
      </c>
      <c r="AN77" s="2">
        <f t="shared" si="142"/>
        <v>-1076400000</v>
      </c>
      <c r="AO77" s="2">
        <f t="shared" si="143"/>
        <v>-1038316738.3735274</v>
      </c>
      <c r="AP77" s="2">
        <f t="shared" si="144"/>
        <v>-1000389529.0927753</v>
      </c>
      <c r="AQ77" s="2">
        <f t="shared" si="145"/>
        <v>-962772676.4079268</v>
      </c>
      <c r="AR77" s="2">
        <f t="shared" si="146"/>
        <v>-925617009.21052825</v>
      </c>
      <c r="AS77" s="2">
        <f t="shared" si="147"/>
        <v>-889068195.13324499</v>
      </c>
      <c r="AT77" s="2">
        <f t="shared" si="148"/>
        <v>-853265115.94538689</v>
      </c>
      <c r="AU77" s="2">
        <f t="shared" si="149"/>
        <v>-818338323.29710126</v>
      </c>
      <c r="AV77" s="2">
        <f t="shared" si="150"/>
        <v>-784408592.72140324</v>
      </c>
      <c r="AW77" s="2">
        <f t="shared" si="151"/>
        <v>-751585592.41994786</v>
      </c>
      <c r="AX77" s="2">
        <f t="shared" si="152"/>
        <v>-719966681.76432407</v>
      </c>
      <c r="AY77" s="2">
        <f t="shared" si="153"/>
        <v>-689635852.67194152</v>
      </c>
      <c r="AZ77" s="2">
        <f t="shared" si="154"/>
        <v>-660662825.09916246</v>
      </c>
      <c r="BA77" s="2">
        <f t="shared" si="155"/>
        <v>-633102305.87062514</v>
      </c>
      <c r="BB77" s="2">
        <f t="shared" si="156"/>
        <v>-606993417.96955144</v>
      </c>
      <c r="BC77" s="2">
        <f t="shared" si="157"/>
        <v>-582359305.28550208</v>
      </c>
      <c r="BD77" s="2">
        <f t="shared" si="158"/>
        <v>-559206915.68819916</v>
      </c>
      <c r="BE77" s="2">
        <f t="shared" si="159"/>
        <v>-537526963.20091712</v>
      </c>
      <c r="BF77" s="2">
        <f t="shared" si="160"/>
        <v>-517294068.01358443</v>
      </c>
      <c r="BG77" s="2">
        <f t="shared" si="161"/>
        <v>-498467071.12941599</v>
      </c>
      <c r="BH77" s="2">
        <f t="shared" si="162"/>
        <v>-480989518.60071981</v>
      </c>
      <c r="BI77" s="2">
        <f t="shared" si="163"/>
        <v>-464790308.59624922</v>
      </c>
      <c r="BJ77" s="2">
        <f t="shared" si="164"/>
        <v>-449784492.96644408</v>
      </c>
      <c r="BK77" s="2">
        <f t="shared" si="165"/>
        <v>-435874223.54223347</v>
      </c>
      <c r="BL77" s="2">
        <f t="shared" si="166"/>
        <v>-422949832.12194687</v>
      </c>
      <c r="BM77" s="2">
        <f t="shared" si="167"/>
        <v>-410891031.97002226</v>
      </c>
      <c r="BN77" s="2">
        <f t="shared" si="168"/>
        <v>-399568227.668441</v>
      </c>
      <c r="BO77" s="2">
        <f t="shared" si="169"/>
        <v>-388843919.32276773</v>
      </c>
      <c r="BP77" s="2">
        <f t="shared" si="170"/>
        <v>-378574186.4233948</v>
      </c>
      <c r="BQ77" s="2">
        <f t="shared" si="171"/>
        <v>-368610236.09235442</v>
      </c>
      <c r="BR77" s="2">
        <f t="shared" si="172"/>
        <v>-358800000</v>
      </c>
      <c r="BT77" s="16"/>
      <c r="BU77" s="37">
        <v>9.0000000000000011E-2</v>
      </c>
      <c r="BV77" s="2">
        <f t="shared" si="173"/>
        <v>0.40647187995004247</v>
      </c>
      <c r="BW77" s="2">
        <f t="shared" si="174"/>
        <v>0.40647187995004247</v>
      </c>
      <c r="BX77" s="2">
        <f t="shared" si="175"/>
        <v>0.40647187995004247</v>
      </c>
      <c r="BY77" s="2">
        <f t="shared" si="176"/>
        <v>0.40647187995004247</v>
      </c>
      <c r="BZ77" s="2">
        <f t="shared" si="177"/>
        <v>0.40647187995004247</v>
      </c>
      <c r="CA77" s="2">
        <f t="shared" si="178"/>
        <v>0.40647187995004247</v>
      </c>
      <c r="CB77" s="2">
        <f t="shared" si="179"/>
        <v>0.40647187995004247</v>
      </c>
      <c r="CC77" s="2">
        <f t="shared" si="180"/>
        <v>0.40647187995004247</v>
      </c>
      <c r="CD77" s="2">
        <f t="shared" si="181"/>
        <v>0.40647187995004247</v>
      </c>
      <c r="CE77" s="2">
        <f t="shared" si="182"/>
        <v>0.40647187995004247</v>
      </c>
      <c r="CF77" s="2">
        <f t="shared" si="183"/>
        <v>0.40647187995004247</v>
      </c>
      <c r="CG77" s="2">
        <f t="shared" si="184"/>
        <v>0.40647187995004247</v>
      </c>
      <c r="CH77" s="2">
        <f t="shared" si="185"/>
        <v>0.40647187995004247</v>
      </c>
      <c r="CI77" s="2">
        <f t="shared" si="186"/>
        <v>0.40647187995004247</v>
      </c>
      <c r="CJ77" s="2">
        <f t="shared" si="187"/>
        <v>0.40647187995004247</v>
      </c>
      <c r="CK77" s="2">
        <f t="shared" si="188"/>
        <v>0.40647187995004247</v>
      </c>
      <c r="CL77" s="2">
        <f t="shared" si="189"/>
        <v>0.40647187995004247</v>
      </c>
      <c r="CM77" s="2">
        <f t="shared" si="190"/>
        <v>0.40647187995004247</v>
      </c>
      <c r="CN77" s="2">
        <f t="shared" si="191"/>
        <v>0.40647187995004247</v>
      </c>
      <c r="CO77" s="2">
        <f t="shared" si="192"/>
        <v>0.40647187995004247</v>
      </c>
      <c r="CP77" s="2">
        <f t="shared" si="193"/>
        <v>0.40647187995004247</v>
      </c>
      <c r="CQ77" s="2">
        <f t="shared" si="194"/>
        <v>0.40647187995004247</v>
      </c>
      <c r="CR77" s="2">
        <f t="shared" si="195"/>
        <v>0.40647187995004247</v>
      </c>
      <c r="CS77" s="2">
        <f t="shared" si="196"/>
        <v>0.40647187995004247</v>
      </c>
      <c r="CT77" s="2">
        <f t="shared" si="197"/>
        <v>0.40647187995004247</v>
      </c>
      <c r="CU77" s="2">
        <f t="shared" si="198"/>
        <v>0.40647187995004247</v>
      </c>
      <c r="CV77" s="2">
        <f t="shared" si="199"/>
        <v>0.40647187995004247</v>
      </c>
      <c r="CW77" s="2">
        <f t="shared" si="200"/>
        <v>0.40647187995004247</v>
      </c>
      <c r="CX77" s="2">
        <f t="shared" si="201"/>
        <v>0.40647187995004247</v>
      </c>
      <c r="CY77" s="2">
        <f t="shared" si="202"/>
        <v>0.40647187995004247</v>
      </c>
      <c r="CZ77" s="2">
        <f t="shared" si="203"/>
        <v>0.40647187995004247</v>
      </c>
      <c r="DB77" s="16"/>
      <c r="DC77" s="37">
        <v>9.0000000000000011E-2</v>
      </c>
      <c r="DD77" s="2">
        <f t="shared" si="204"/>
        <v>178.05843601498725</v>
      </c>
      <c r="DE77" s="2">
        <f t="shared" si="205"/>
        <v>171.75869056389169</v>
      </c>
      <c r="DF77" s="2">
        <f t="shared" si="206"/>
        <v>165.48475934227909</v>
      </c>
      <c r="DG77" s="2">
        <f t="shared" si="207"/>
        <v>159.2621674091034</v>
      </c>
      <c r="DH77" s="2">
        <f t="shared" si="208"/>
        <v>153.11586492836932</v>
      </c>
      <c r="DI77" s="2">
        <f t="shared" si="209"/>
        <v>147.06994828696875</v>
      </c>
      <c r="DJ77" s="2">
        <f t="shared" si="210"/>
        <v>141.14739135208319</v>
      </c>
      <c r="DK77" s="2">
        <f t="shared" si="211"/>
        <v>135.36979001988934</v>
      </c>
      <c r="DL77" s="2">
        <f t="shared" si="212"/>
        <v>129.75712301810685</v>
      </c>
      <c r="DM77" s="2">
        <f t="shared" si="213"/>
        <v>124.32753169611074</v>
      </c>
      <c r="DN77" s="2">
        <f t="shared" si="214"/>
        <v>119.09712127262691</v>
      </c>
      <c r="DO77" s="2">
        <f t="shared" si="215"/>
        <v>114.07978571778902</v>
      </c>
      <c r="DP77" s="2">
        <f t="shared" si="216"/>
        <v>109.2870581293199</v>
      </c>
      <c r="DQ77" s="2">
        <f t="shared" si="217"/>
        <v>104.72798812783873</v>
      </c>
      <c r="DR77" s="2">
        <f t="shared" si="218"/>
        <v>100.40904744987907</v>
      </c>
      <c r="DS77" s="2">
        <f t="shared" si="219"/>
        <v>96.334064565134724</v>
      </c>
      <c r="DT77" s="2">
        <f t="shared" si="220"/>
        <v>92.504188792461534</v>
      </c>
      <c r="DU77" s="2">
        <f t="shared" si="221"/>
        <v>88.917884042587261</v>
      </c>
      <c r="DV77" s="2">
        <f t="shared" si="222"/>
        <v>85.570951979124217</v>
      </c>
      <c r="DW77" s="2">
        <f t="shared" si="223"/>
        <v>82.456584067516943</v>
      </c>
      <c r="DX77" s="2">
        <f t="shared" si="224"/>
        <v>79.565441677485865</v>
      </c>
      <c r="DY77" s="2">
        <f t="shared" si="225"/>
        <v>76.885763121118003</v>
      </c>
      <c r="DZ77" s="2">
        <f t="shared" si="226"/>
        <v>74.403496248048185</v>
      </c>
      <c r="EA77" s="2">
        <f t="shared" si="227"/>
        <v>72.102454982513024</v>
      </c>
      <c r="EB77" s="2">
        <f t="shared" si="228"/>
        <v>69.964497975134975</v>
      </c>
      <c r="EC77" s="2">
        <f t="shared" si="229"/>
        <v>67.969727355226951</v>
      </c>
      <c r="ED77" s="2">
        <f t="shared" si="230"/>
        <v>66.096705406840371</v>
      </c>
      <c r="EE77" s="2">
        <f t="shared" si="231"/>
        <v>64.322686852982073</v>
      </c>
      <c r="EF77" s="2">
        <f t="shared" si="232"/>
        <v>62.623864316421312</v>
      </c>
      <c r="EG77" s="2">
        <f t="shared" si="233"/>
        <v>60.975624431177856</v>
      </c>
      <c r="EH77" s="2">
        <f t="shared" si="234"/>
        <v>59.352812004995762</v>
      </c>
    </row>
    <row r="78" spans="5:138">
      <c r="E78" s="18"/>
      <c r="F78" s="37">
        <v>8.666666666666667E-2</v>
      </c>
      <c r="G78" s="2">
        <f t="shared" si="139"/>
        <v>300</v>
      </c>
      <c r="H78" s="2">
        <f t="shared" si="235"/>
        <v>289.38593600154053</v>
      </c>
      <c r="I78" s="2">
        <f t="shared" si="236"/>
        <v>278.81536485305895</v>
      </c>
      <c r="J78" s="2">
        <f t="shared" si="237"/>
        <v>268.33129219841885</v>
      </c>
      <c r="K78" s="2">
        <f t="shared" si="238"/>
        <v>257.97575507539807</v>
      </c>
      <c r="L78" s="2">
        <f t="shared" si="239"/>
        <v>247.78935204382532</v>
      </c>
      <c r="M78" s="2">
        <f t="shared" si="240"/>
        <v>237.81079039726501</v>
      </c>
      <c r="N78" s="2">
        <f t="shared" si="241"/>
        <v>228.07645576842287</v>
      </c>
      <c r="O78" s="2">
        <f t="shared" si="242"/>
        <v>218.62000911967766</v>
      </c>
      <c r="P78" s="2">
        <f t="shared" si="243"/>
        <v>209.47201572462319</v>
      </c>
      <c r="Q78" s="2">
        <f t="shared" si="244"/>
        <v>200.65961030220848</v>
      </c>
      <c r="R78" s="2">
        <f t="shared" si="245"/>
        <v>192.20620197099822</v>
      </c>
      <c r="S78" s="2">
        <f t="shared" si="246"/>
        <v>184.13122215695722</v>
      </c>
      <c r="T78" s="2">
        <f t="shared" si="247"/>
        <v>176.44991802414302</v>
      </c>
      <c r="U78" s="2">
        <f t="shared" si="248"/>
        <v>169.17319341403334</v>
      </c>
      <c r="V78" s="2">
        <f t="shared" si="249"/>
        <v>162.30749868603738</v>
      </c>
      <c r="W78" s="2">
        <f t="shared" si="250"/>
        <v>155.85477025869542</v>
      </c>
      <c r="X78" s="2">
        <f t="shared" si="251"/>
        <v>149.81242006714524</v>
      </c>
      <c r="Y78" s="2">
        <f t="shared" si="252"/>
        <v>144.1733745857259</v>
      </c>
      <c r="Z78" s="2">
        <f t="shared" si="253"/>
        <v>138.92616252213378</v>
      </c>
      <c r="AA78" s="2">
        <f t="shared" si="254"/>
        <v>134.05504977723515</v>
      </c>
      <c r="AB78" s="2">
        <f t="shared" si="255"/>
        <v>129.54021978713746</v>
      </c>
      <c r="AC78" s="2">
        <f t="shared" si="256"/>
        <v>125.35799692487292</v>
      </c>
      <c r="AD78" s="2">
        <f t="shared" si="257"/>
        <v>121.4811102403103</v>
      </c>
      <c r="AE78" s="2">
        <f t="shared" si="258"/>
        <v>117.87899445985141</v>
      </c>
      <c r="AF78" s="2">
        <f t="shared" si="259"/>
        <v>114.51812485229158</v>
      </c>
      <c r="AG78" s="2">
        <f t="shared" si="260"/>
        <v>111.36238229332247</v>
      </c>
      <c r="AH78" s="2">
        <f t="shared" si="261"/>
        <v>108.37344462730427</v>
      </c>
      <c r="AI78" s="2">
        <f t="shared" si="262"/>
        <v>105.51120022948572</v>
      </c>
      <c r="AJ78" s="2">
        <f t="shared" si="263"/>
        <v>102.7341795129193</v>
      </c>
      <c r="AK78" s="2">
        <f t="shared" si="141"/>
        <v>100</v>
      </c>
      <c r="AL78" s="16"/>
      <c r="AM78" s="37">
        <v>8.666666666666667E-2</v>
      </c>
      <c r="AN78" s="2">
        <f t="shared" si="142"/>
        <v>-1076400000</v>
      </c>
      <c r="AO78" s="2">
        <f t="shared" si="143"/>
        <v>-1038316738.3735274</v>
      </c>
      <c r="AP78" s="2">
        <f t="shared" si="144"/>
        <v>-1000389529.0927753</v>
      </c>
      <c r="AQ78" s="2">
        <f t="shared" si="145"/>
        <v>-962772676.4079268</v>
      </c>
      <c r="AR78" s="2">
        <f t="shared" si="146"/>
        <v>-925617009.21052825</v>
      </c>
      <c r="AS78" s="2">
        <f t="shared" si="147"/>
        <v>-889068195.13324499</v>
      </c>
      <c r="AT78" s="2">
        <f t="shared" si="148"/>
        <v>-853265115.94538689</v>
      </c>
      <c r="AU78" s="2">
        <f t="shared" si="149"/>
        <v>-818338323.29710126</v>
      </c>
      <c r="AV78" s="2">
        <f t="shared" si="150"/>
        <v>-784408592.72140324</v>
      </c>
      <c r="AW78" s="2">
        <f t="shared" si="151"/>
        <v>-751585592.41994786</v>
      </c>
      <c r="AX78" s="2">
        <f t="shared" si="152"/>
        <v>-719966681.76432407</v>
      </c>
      <c r="AY78" s="2">
        <f t="shared" si="153"/>
        <v>-689635852.67194152</v>
      </c>
      <c r="AZ78" s="2">
        <f t="shared" si="154"/>
        <v>-660662825.09916246</v>
      </c>
      <c r="BA78" s="2">
        <f t="shared" si="155"/>
        <v>-633102305.87062514</v>
      </c>
      <c r="BB78" s="2">
        <f t="shared" si="156"/>
        <v>-606993417.96955144</v>
      </c>
      <c r="BC78" s="2">
        <f t="shared" si="157"/>
        <v>-582359305.28550208</v>
      </c>
      <c r="BD78" s="2">
        <f t="shared" si="158"/>
        <v>-559206915.68819916</v>
      </c>
      <c r="BE78" s="2">
        <f t="shared" si="159"/>
        <v>-537526963.20091712</v>
      </c>
      <c r="BF78" s="2">
        <f t="shared" si="160"/>
        <v>-517294068.01358443</v>
      </c>
      <c r="BG78" s="2">
        <f t="shared" si="161"/>
        <v>-498467071.12941599</v>
      </c>
      <c r="BH78" s="2">
        <f t="shared" si="162"/>
        <v>-480989518.60071981</v>
      </c>
      <c r="BI78" s="2">
        <f t="shared" si="163"/>
        <v>-464790308.59624922</v>
      </c>
      <c r="BJ78" s="2">
        <f t="shared" si="164"/>
        <v>-449784492.96644408</v>
      </c>
      <c r="BK78" s="2">
        <f t="shared" si="165"/>
        <v>-435874223.54223347</v>
      </c>
      <c r="BL78" s="2">
        <f t="shared" si="166"/>
        <v>-422949832.12194687</v>
      </c>
      <c r="BM78" s="2">
        <f t="shared" si="167"/>
        <v>-410891031.97002226</v>
      </c>
      <c r="BN78" s="2">
        <f t="shared" si="168"/>
        <v>-399568227.668441</v>
      </c>
      <c r="BO78" s="2">
        <f t="shared" si="169"/>
        <v>-388843919.32276773</v>
      </c>
      <c r="BP78" s="2">
        <f t="shared" si="170"/>
        <v>-378574186.4233948</v>
      </c>
      <c r="BQ78" s="2">
        <f t="shared" si="171"/>
        <v>-368610236.09235442</v>
      </c>
      <c r="BR78" s="2">
        <f t="shared" si="172"/>
        <v>-358800000</v>
      </c>
      <c r="BT78" s="16"/>
      <c r="BU78" s="37">
        <v>8.666666666666667E-2</v>
      </c>
      <c r="BV78" s="2">
        <f t="shared" si="173"/>
        <v>0.40647187995004247</v>
      </c>
      <c r="BW78" s="2">
        <f t="shared" si="174"/>
        <v>0.40647187995004247</v>
      </c>
      <c r="BX78" s="2">
        <f t="shared" si="175"/>
        <v>0.40647187995004247</v>
      </c>
      <c r="BY78" s="2">
        <f t="shared" si="176"/>
        <v>0.40647187995004247</v>
      </c>
      <c r="BZ78" s="2">
        <f t="shared" si="177"/>
        <v>0.40647187995004247</v>
      </c>
      <c r="CA78" s="2">
        <f t="shared" si="178"/>
        <v>0.40647187995004247</v>
      </c>
      <c r="CB78" s="2">
        <f t="shared" si="179"/>
        <v>0.40647187995004247</v>
      </c>
      <c r="CC78" s="2">
        <f t="shared" si="180"/>
        <v>0.40647187995004247</v>
      </c>
      <c r="CD78" s="2">
        <f t="shared" si="181"/>
        <v>0.40647187995004247</v>
      </c>
      <c r="CE78" s="2">
        <f t="shared" si="182"/>
        <v>0.40647187995004247</v>
      </c>
      <c r="CF78" s="2">
        <f t="shared" si="183"/>
        <v>0.40647187995004247</v>
      </c>
      <c r="CG78" s="2">
        <f t="shared" si="184"/>
        <v>0.40647187995004247</v>
      </c>
      <c r="CH78" s="2">
        <f t="shared" si="185"/>
        <v>0.40647187995004247</v>
      </c>
      <c r="CI78" s="2">
        <f t="shared" si="186"/>
        <v>0.40647187995004247</v>
      </c>
      <c r="CJ78" s="2">
        <f t="shared" si="187"/>
        <v>0.40647187995004247</v>
      </c>
      <c r="CK78" s="2">
        <f t="shared" si="188"/>
        <v>0.40647187995004247</v>
      </c>
      <c r="CL78" s="2">
        <f t="shared" si="189"/>
        <v>0.40647187995004247</v>
      </c>
      <c r="CM78" s="2">
        <f t="shared" si="190"/>
        <v>0.40647187995004247</v>
      </c>
      <c r="CN78" s="2">
        <f t="shared" si="191"/>
        <v>0.40647187995004247</v>
      </c>
      <c r="CO78" s="2">
        <f t="shared" si="192"/>
        <v>0.40647187995004247</v>
      </c>
      <c r="CP78" s="2">
        <f t="shared" si="193"/>
        <v>0.40647187995004247</v>
      </c>
      <c r="CQ78" s="2">
        <f t="shared" si="194"/>
        <v>0.40647187995004247</v>
      </c>
      <c r="CR78" s="2">
        <f t="shared" si="195"/>
        <v>0.40647187995004247</v>
      </c>
      <c r="CS78" s="2">
        <f t="shared" si="196"/>
        <v>0.40647187995004247</v>
      </c>
      <c r="CT78" s="2">
        <f t="shared" si="197"/>
        <v>0.40647187995004247</v>
      </c>
      <c r="CU78" s="2">
        <f t="shared" si="198"/>
        <v>0.40647187995004247</v>
      </c>
      <c r="CV78" s="2">
        <f t="shared" si="199"/>
        <v>0.40647187995004247</v>
      </c>
      <c r="CW78" s="2">
        <f t="shared" si="200"/>
        <v>0.40647187995004247</v>
      </c>
      <c r="CX78" s="2">
        <f t="shared" si="201"/>
        <v>0.40647187995004247</v>
      </c>
      <c r="CY78" s="2">
        <f t="shared" si="202"/>
        <v>0.40647187995004247</v>
      </c>
      <c r="CZ78" s="2">
        <f t="shared" si="203"/>
        <v>0.40647187995004247</v>
      </c>
      <c r="DB78" s="16"/>
      <c r="DC78" s="37">
        <v>8.666666666666667E-2</v>
      </c>
      <c r="DD78" s="2">
        <f t="shared" si="204"/>
        <v>178.05843601498725</v>
      </c>
      <c r="DE78" s="2">
        <f t="shared" si="205"/>
        <v>171.75869056389169</v>
      </c>
      <c r="DF78" s="2">
        <f t="shared" si="206"/>
        <v>165.48475934227909</v>
      </c>
      <c r="DG78" s="2">
        <f t="shared" si="207"/>
        <v>159.2621674091034</v>
      </c>
      <c r="DH78" s="2">
        <f t="shared" si="208"/>
        <v>153.11586492836932</v>
      </c>
      <c r="DI78" s="2">
        <f t="shared" si="209"/>
        <v>147.06994828696875</v>
      </c>
      <c r="DJ78" s="2">
        <f t="shared" si="210"/>
        <v>141.14739135208319</v>
      </c>
      <c r="DK78" s="2">
        <f t="shared" si="211"/>
        <v>135.36979001988934</v>
      </c>
      <c r="DL78" s="2">
        <f t="shared" si="212"/>
        <v>129.75712301810685</v>
      </c>
      <c r="DM78" s="2">
        <f t="shared" si="213"/>
        <v>124.32753169611074</v>
      </c>
      <c r="DN78" s="2">
        <f t="shared" si="214"/>
        <v>119.09712127262691</v>
      </c>
      <c r="DO78" s="2">
        <f t="shared" si="215"/>
        <v>114.07978571778902</v>
      </c>
      <c r="DP78" s="2">
        <f t="shared" si="216"/>
        <v>109.2870581293199</v>
      </c>
      <c r="DQ78" s="2">
        <f t="shared" si="217"/>
        <v>104.72798812783873</v>
      </c>
      <c r="DR78" s="2">
        <f t="shared" si="218"/>
        <v>100.40904744987907</v>
      </c>
      <c r="DS78" s="2">
        <f t="shared" si="219"/>
        <v>96.334064565134724</v>
      </c>
      <c r="DT78" s="2">
        <f t="shared" si="220"/>
        <v>92.504188792461534</v>
      </c>
      <c r="DU78" s="2">
        <f t="shared" si="221"/>
        <v>88.917884042587261</v>
      </c>
      <c r="DV78" s="2">
        <f t="shared" si="222"/>
        <v>85.570951979124217</v>
      </c>
      <c r="DW78" s="2">
        <f t="shared" si="223"/>
        <v>82.456584067516943</v>
      </c>
      <c r="DX78" s="2">
        <f t="shared" si="224"/>
        <v>79.565441677485865</v>
      </c>
      <c r="DY78" s="2">
        <f t="shared" si="225"/>
        <v>76.885763121118003</v>
      </c>
      <c r="DZ78" s="2">
        <f t="shared" si="226"/>
        <v>74.403496248048185</v>
      </c>
      <c r="EA78" s="2">
        <f t="shared" si="227"/>
        <v>72.102454982513024</v>
      </c>
      <c r="EB78" s="2">
        <f t="shared" si="228"/>
        <v>69.964497975134975</v>
      </c>
      <c r="EC78" s="2">
        <f t="shared" si="229"/>
        <v>67.969727355226951</v>
      </c>
      <c r="ED78" s="2">
        <f t="shared" si="230"/>
        <v>66.096705406840371</v>
      </c>
      <c r="EE78" s="2">
        <f t="shared" si="231"/>
        <v>64.322686852982073</v>
      </c>
      <c r="EF78" s="2">
        <f t="shared" si="232"/>
        <v>62.623864316421312</v>
      </c>
      <c r="EG78" s="2">
        <f t="shared" si="233"/>
        <v>60.975624431177856</v>
      </c>
      <c r="EH78" s="2">
        <f t="shared" si="234"/>
        <v>59.352812004995762</v>
      </c>
    </row>
    <row r="79" spans="5:138">
      <c r="E79" s="18"/>
      <c r="F79" s="37">
        <v>8.3333333333333343E-2</v>
      </c>
      <c r="G79" s="2">
        <f t="shared" si="139"/>
        <v>300</v>
      </c>
      <c r="H79" s="2">
        <f t="shared" si="235"/>
        <v>289.38593600154053</v>
      </c>
      <c r="I79" s="2">
        <f t="shared" si="236"/>
        <v>278.81536485305895</v>
      </c>
      <c r="J79" s="2">
        <f t="shared" si="237"/>
        <v>268.33129219841885</v>
      </c>
      <c r="K79" s="2">
        <f t="shared" si="238"/>
        <v>257.97575507539807</v>
      </c>
      <c r="L79" s="2">
        <f t="shared" si="239"/>
        <v>247.78935204382532</v>
      </c>
      <c r="M79" s="2">
        <f t="shared" si="240"/>
        <v>237.81079039726501</v>
      </c>
      <c r="N79" s="2">
        <f t="shared" si="241"/>
        <v>228.07645576842287</v>
      </c>
      <c r="O79" s="2">
        <f t="shared" si="242"/>
        <v>218.62000911967766</v>
      </c>
      <c r="P79" s="2">
        <f t="shared" si="243"/>
        <v>209.47201572462319</v>
      </c>
      <c r="Q79" s="2">
        <f t="shared" si="244"/>
        <v>200.65961030220848</v>
      </c>
      <c r="R79" s="2">
        <f t="shared" si="245"/>
        <v>192.20620197099822</v>
      </c>
      <c r="S79" s="2">
        <f t="shared" si="246"/>
        <v>184.13122215695722</v>
      </c>
      <c r="T79" s="2">
        <f t="shared" si="247"/>
        <v>176.44991802414302</v>
      </c>
      <c r="U79" s="2">
        <f t="shared" si="248"/>
        <v>169.17319341403334</v>
      </c>
      <c r="V79" s="2">
        <f t="shared" si="249"/>
        <v>162.30749868603738</v>
      </c>
      <c r="W79" s="2">
        <f t="shared" si="250"/>
        <v>155.85477025869542</v>
      </c>
      <c r="X79" s="2">
        <f t="shared" si="251"/>
        <v>149.81242006714524</v>
      </c>
      <c r="Y79" s="2">
        <f t="shared" si="252"/>
        <v>144.1733745857259</v>
      </c>
      <c r="Z79" s="2">
        <f t="shared" si="253"/>
        <v>138.92616252213378</v>
      </c>
      <c r="AA79" s="2">
        <f t="shared" si="254"/>
        <v>134.05504977723515</v>
      </c>
      <c r="AB79" s="2">
        <f t="shared" si="255"/>
        <v>129.54021978713746</v>
      </c>
      <c r="AC79" s="2">
        <f t="shared" si="256"/>
        <v>125.35799692487292</v>
      </c>
      <c r="AD79" s="2">
        <f t="shared" si="257"/>
        <v>121.4811102403103</v>
      </c>
      <c r="AE79" s="2">
        <f t="shared" si="258"/>
        <v>117.87899445985141</v>
      </c>
      <c r="AF79" s="2">
        <f t="shared" si="259"/>
        <v>114.51812485229158</v>
      </c>
      <c r="AG79" s="2">
        <f t="shared" si="260"/>
        <v>111.36238229332247</v>
      </c>
      <c r="AH79" s="2">
        <f t="shared" si="261"/>
        <v>108.37344462730427</v>
      </c>
      <c r="AI79" s="2">
        <f t="shared" si="262"/>
        <v>105.51120022948572</v>
      </c>
      <c r="AJ79" s="2">
        <f t="shared" si="263"/>
        <v>102.7341795129193</v>
      </c>
      <c r="AK79" s="2">
        <f t="shared" si="141"/>
        <v>100</v>
      </c>
      <c r="AL79" s="16"/>
      <c r="AM79" s="37">
        <v>8.3333333333333343E-2</v>
      </c>
      <c r="AN79" s="2">
        <f t="shared" si="142"/>
        <v>-1076400000</v>
      </c>
      <c r="AO79" s="2">
        <f t="shared" si="143"/>
        <v>-1038316738.3735274</v>
      </c>
      <c r="AP79" s="2">
        <f t="shared" si="144"/>
        <v>-1000389529.0927753</v>
      </c>
      <c r="AQ79" s="2">
        <f t="shared" si="145"/>
        <v>-962772676.4079268</v>
      </c>
      <c r="AR79" s="2">
        <f t="shared" si="146"/>
        <v>-925617009.21052825</v>
      </c>
      <c r="AS79" s="2">
        <f t="shared" si="147"/>
        <v>-889068195.13324499</v>
      </c>
      <c r="AT79" s="2">
        <f t="shared" si="148"/>
        <v>-853265115.94538689</v>
      </c>
      <c r="AU79" s="2">
        <f t="shared" si="149"/>
        <v>-818338323.29710126</v>
      </c>
      <c r="AV79" s="2">
        <f t="shared" si="150"/>
        <v>-784408592.72140324</v>
      </c>
      <c r="AW79" s="2">
        <f t="shared" si="151"/>
        <v>-751585592.41994786</v>
      </c>
      <c r="AX79" s="2">
        <f t="shared" si="152"/>
        <v>-719966681.76432407</v>
      </c>
      <c r="AY79" s="2">
        <f t="shared" si="153"/>
        <v>-689635852.67194152</v>
      </c>
      <c r="AZ79" s="2">
        <f t="shared" si="154"/>
        <v>-660662825.09916246</v>
      </c>
      <c r="BA79" s="2">
        <f t="shared" si="155"/>
        <v>-633102305.87062514</v>
      </c>
      <c r="BB79" s="2">
        <f t="shared" si="156"/>
        <v>-606993417.96955144</v>
      </c>
      <c r="BC79" s="2">
        <f t="shared" si="157"/>
        <v>-582359305.28550208</v>
      </c>
      <c r="BD79" s="2">
        <f t="shared" si="158"/>
        <v>-559206915.68819916</v>
      </c>
      <c r="BE79" s="2">
        <f t="shared" si="159"/>
        <v>-537526963.20091712</v>
      </c>
      <c r="BF79" s="2">
        <f t="shared" si="160"/>
        <v>-517294068.01358443</v>
      </c>
      <c r="BG79" s="2">
        <f t="shared" si="161"/>
        <v>-498467071.12941599</v>
      </c>
      <c r="BH79" s="2">
        <f t="shared" si="162"/>
        <v>-480989518.60071981</v>
      </c>
      <c r="BI79" s="2">
        <f t="shared" si="163"/>
        <v>-464790308.59624922</v>
      </c>
      <c r="BJ79" s="2">
        <f t="shared" si="164"/>
        <v>-449784492.96644408</v>
      </c>
      <c r="BK79" s="2">
        <f t="shared" si="165"/>
        <v>-435874223.54223347</v>
      </c>
      <c r="BL79" s="2">
        <f t="shared" si="166"/>
        <v>-422949832.12194687</v>
      </c>
      <c r="BM79" s="2">
        <f t="shared" si="167"/>
        <v>-410891031.97002226</v>
      </c>
      <c r="BN79" s="2">
        <f t="shared" si="168"/>
        <v>-399568227.668441</v>
      </c>
      <c r="BO79" s="2">
        <f t="shared" si="169"/>
        <v>-388843919.32276773</v>
      </c>
      <c r="BP79" s="2">
        <f t="shared" si="170"/>
        <v>-378574186.4233948</v>
      </c>
      <c r="BQ79" s="2">
        <f t="shared" si="171"/>
        <v>-368610236.09235442</v>
      </c>
      <c r="BR79" s="2">
        <f t="shared" si="172"/>
        <v>-358800000</v>
      </c>
      <c r="BT79" s="16"/>
      <c r="BU79" s="37">
        <v>8.3333333333333343E-2</v>
      </c>
      <c r="BV79" s="2">
        <f t="shared" si="173"/>
        <v>0.40647187995004247</v>
      </c>
      <c r="BW79" s="2">
        <f t="shared" si="174"/>
        <v>0.40647187995004247</v>
      </c>
      <c r="BX79" s="2">
        <f t="shared" si="175"/>
        <v>0.40647187995004247</v>
      </c>
      <c r="BY79" s="2">
        <f t="shared" si="176"/>
        <v>0.40647187995004247</v>
      </c>
      <c r="BZ79" s="2">
        <f t="shared" si="177"/>
        <v>0.40647187995004247</v>
      </c>
      <c r="CA79" s="2">
        <f t="shared" si="178"/>
        <v>0.40647187995004247</v>
      </c>
      <c r="CB79" s="2">
        <f t="shared" si="179"/>
        <v>0.40647187995004247</v>
      </c>
      <c r="CC79" s="2">
        <f t="shared" si="180"/>
        <v>0.40647187995004247</v>
      </c>
      <c r="CD79" s="2">
        <f t="shared" si="181"/>
        <v>0.40647187995004247</v>
      </c>
      <c r="CE79" s="2">
        <f t="shared" si="182"/>
        <v>0.40647187995004247</v>
      </c>
      <c r="CF79" s="2">
        <f t="shared" si="183"/>
        <v>0.40647187995004247</v>
      </c>
      <c r="CG79" s="2">
        <f t="shared" si="184"/>
        <v>0.40647187995004247</v>
      </c>
      <c r="CH79" s="2">
        <f t="shared" si="185"/>
        <v>0.40647187995004247</v>
      </c>
      <c r="CI79" s="2">
        <f t="shared" si="186"/>
        <v>0.40647187995004247</v>
      </c>
      <c r="CJ79" s="2">
        <f t="shared" si="187"/>
        <v>0.40647187995004247</v>
      </c>
      <c r="CK79" s="2">
        <f t="shared" si="188"/>
        <v>0.40647187995004247</v>
      </c>
      <c r="CL79" s="2">
        <f t="shared" si="189"/>
        <v>0.40647187995004247</v>
      </c>
      <c r="CM79" s="2">
        <f t="shared" si="190"/>
        <v>0.40647187995004247</v>
      </c>
      <c r="CN79" s="2">
        <f t="shared" si="191"/>
        <v>0.40647187995004247</v>
      </c>
      <c r="CO79" s="2">
        <f t="shared" si="192"/>
        <v>0.40647187995004247</v>
      </c>
      <c r="CP79" s="2">
        <f t="shared" si="193"/>
        <v>0.40647187995004247</v>
      </c>
      <c r="CQ79" s="2">
        <f t="shared" si="194"/>
        <v>0.40647187995004247</v>
      </c>
      <c r="CR79" s="2">
        <f t="shared" si="195"/>
        <v>0.40647187995004247</v>
      </c>
      <c r="CS79" s="2">
        <f t="shared" si="196"/>
        <v>0.40647187995004247</v>
      </c>
      <c r="CT79" s="2">
        <f t="shared" si="197"/>
        <v>0.40647187995004247</v>
      </c>
      <c r="CU79" s="2">
        <f t="shared" si="198"/>
        <v>0.40647187995004247</v>
      </c>
      <c r="CV79" s="2">
        <f t="shared" si="199"/>
        <v>0.40647187995004247</v>
      </c>
      <c r="CW79" s="2">
        <f t="shared" si="200"/>
        <v>0.40647187995004247</v>
      </c>
      <c r="CX79" s="2">
        <f t="shared" si="201"/>
        <v>0.40647187995004247</v>
      </c>
      <c r="CY79" s="2">
        <f t="shared" si="202"/>
        <v>0.40647187995004247</v>
      </c>
      <c r="CZ79" s="2">
        <f t="shared" si="203"/>
        <v>0.40647187995004247</v>
      </c>
      <c r="DB79" s="16"/>
      <c r="DC79" s="37">
        <v>8.3333333333333343E-2</v>
      </c>
      <c r="DD79" s="2">
        <f t="shared" si="204"/>
        <v>178.05843601498725</v>
      </c>
      <c r="DE79" s="2">
        <f t="shared" si="205"/>
        <v>171.75869056389169</v>
      </c>
      <c r="DF79" s="2">
        <f t="shared" si="206"/>
        <v>165.48475934227909</v>
      </c>
      <c r="DG79" s="2">
        <f t="shared" si="207"/>
        <v>159.2621674091034</v>
      </c>
      <c r="DH79" s="2">
        <f t="shared" si="208"/>
        <v>153.11586492836932</v>
      </c>
      <c r="DI79" s="2">
        <f t="shared" si="209"/>
        <v>147.06994828696875</v>
      </c>
      <c r="DJ79" s="2">
        <f t="shared" si="210"/>
        <v>141.14739135208319</v>
      </c>
      <c r="DK79" s="2">
        <f t="shared" si="211"/>
        <v>135.36979001988934</v>
      </c>
      <c r="DL79" s="2">
        <f t="shared" si="212"/>
        <v>129.75712301810685</v>
      </c>
      <c r="DM79" s="2">
        <f t="shared" si="213"/>
        <v>124.32753169611074</v>
      </c>
      <c r="DN79" s="2">
        <f t="shared" si="214"/>
        <v>119.09712127262691</v>
      </c>
      <c r="DO79" s="2">
        <f t="shared" si="215"/>
        <v>114.07978571778902</v>
      </c>
      <c r="DP79" s="2">
        <f t="shared" si="216"/>
        <v>109.2870581293199</v>
      </c>
      <c r="DQ79" s="2">
        <f t="shared" si="217"/>
        <v>104.72798812783873</v>
      </c>
      <c r="DR79" s="2">
        <f t="shared" si="218"/>
        <v>100.40904744987907</v>
      </c>
      <c r="DS79" s="2">
        <f t="shared" si="219"/>
        <v>96.334064565134724</v>
      </c>
      <c r="DT79" s="2">
        <f t="shared" si="220"/>
        <v>92.504188792461534</v>
      </c>
      <c r="DU79" s="2">
        <f t="shared" si="221"/>
        <v>88.917884042587261</v>
      </c>
      <c r="DV79" s="2">
        <f t="shared" si="222"/>
        <v>85.570951979124217</v>
      </c>
      <c r="DW79" s="2">
        <f t="shared" si="223"/>
        <v>82.456584067516943</v>
      </c>
      <c r="DX79" s="2">
        <f t="shared" si="224"/>
        <v>79.565441677485865</v>
      </c>
      <c r="DY79" s="2">
        <f t="shared" si="225"/>
        <v>76.885763121118003</v>
      </c>
      <c r="DZ79" s="2">
        <f t="shared" si="226"/>
        <v>74.403496248048185</v>
      </c>
      <c r="EA79" s="2">
        <f t="shared" si="227"/>
        <v>72.102454982513024</v>
      </c>
      <c r="EB79" s="2">
        <f t="shared" si="228"/>
        <v>69.964497975134975</v>
      </c>
      <c r="EC79" s="2">
        <f t="shared" si="229"/>
        <v>67.969727355226951</v>
      </c>
      <c r="ED79" s="2">
        <f t="shared" si="230"/>
        <v>66.096705406840371</v>
      </c>
      <c r="EE79" s="2">
        <f t="shared" si="231"/>
        <v>64.322686852982073</v>
      </c>
      <c r="EF79" s="2">
        <f t="shared" si="232"/>
        <v>62.623864316421312</v>
      </c>
      <c r="EG79" s="2">
        <f t="shared" si="233"/>
        <v>60.975624431177856</v>
      </c>
      <c r="EH79" s="2">
        <f t="shared" si="234"/>
        <v>59.352812004995762</v>
      </c>
    </row>
    <row r="80" spans="5:138">
      <c r="E80" s="18"/>
      <c r="F80" s="37">
        <v>0.08</v>
      </c>
      <c r="G80" s="2">
        <f t="shared" si="139"/>
        <v>300</v>
      </c>
      <c r="H80" s="2">
        <f t="shared" si="235"/>
        <v>289.38593600154053</v>
      </c>
      <c r="I80" s="2">
        <f t="shared" si="236"/>
        <v>278.81536485305895</v>
      </c>
      <c r="J80" s="2">
        <f t="shared" si="237"/>
        <v>268.33129219841885</v>
      </c>
      <c r="K80" s="2">
        <f t="shared" si="238"/>
        <v>257.97575507539807</v>
      </c>
      <c r="L80" s="2">
        <f t="shared" si="239"/>
        <v>247.78935204382532</v>
      </c>
      <c r="M80" s="2">
        <f t="shared" si="240"/>
        <v>237.81079039726501</v>
      </c>
      <c r="N80" s="2">
        <f t="shared" si="241"/>
        <v>228.07645576842287</v>
      </c>
      <c r="O80" s="2">
        <f t="shared" si="242"/>
        <v>218.62000911967763</v>
      </c>
      <c r="P80" s="2">
        <f t="shared" si="243"/>
        <v>209.47201572462319</v>
      </c>
      <c r="Q80" s="2">
        <f t="shared" si="244"/>
        <v>200.65961030220848</v>
      </c>
      <c r="R80" s="2">
        <f t="shared" si="245"/>
        <v>192.20620197099822</v>
      </c>
      <c r="S80" s="2">
        <f t="shared" si="246"/>
        <v>184.13122215695722</v>
      </c>
      <c r="T80" s="2">
        <f t="shared" si="247"/>
        <v>176.44991802414302</v>
      </c>
      <c r="U80" s="2">
        <f t="shared" si="248"/>
        <v>169.17319341403334</v>
      </c>
      <c r="V80" s="2">
        <f t="shared" si="249"/>
        <v>162.30749868603738</v>
      </c>
      <c r="W80" s="2">
        <f t="shared" si="250"/>
        <v>155.85477025869542</v>
      </c>
      <c r="X80" s="2">
        <f t="shared" si="251"/>
        <v>149.81242006714524</v>
      </c>
      <c r="Y80" s="2">
        <f t="shared" si="252"/>
        <v>144.1733745857259</v>
      </c>
      <c r="Z80" s="2">
        <f t="shared" si="253"/>
        <v>138.92616252213378</v>
      </c>
      <c r="AA80" s="2">
        <f t="shared" si="254"/>
        <v>134.05504977723515</v>
      </c>
      <c r="AB80" s="2">
        <f t="shared" si="255"/>
        <v>129.54021978713746</v>
      </c>
      <c r="AC80" s="2">
        <f t="shared" si="256"/>
        <v>125.35799692487292</v>
      </c>
      <c r="AD80" s="2">
        <f t="shared" si="257"/>
        <v>121.4811102403103</v>
      </c>
      <c r="AE80" s="2">
        <f t="shared" si="258"/>
        <v>117.87899445985141</v>
      </c>
      <c r="AF80" s="2">
        <f t="shared" si="259"/>
        <v>114.51812485229158</v>
      </c>
      <c r="AG80" s="2">
        <f t="shared" si="260"/>
        <v>111.36238229332247</v>
      </c>
      <c r="AH80" s="2">
        <f t="shared" si="261"/>
        <v>108.37344462730427</v>
      </c>
      <c r="AI80" s="2">
        <f t="shared" si="262"/>
        <v>105.51120022948572</v>
      </c>
      <c r="AJ80" s="2">
        <f t="shared" si="263"/>
        <v>102.7341795129193</v>
      </c>
      <c r="AK80" s="2">
        <f t="shared" si="141"/>
        <v>100</v>
      </c>
      <c r="AL80" s="16"/>
      <c r="AM80" s="37">
        <v>0.08</v>
      </c>
      <c r="AN80" s="2">
        <f t="shared" si="142"/>
        <v>-1076400000</v>
      </c>
      <c r="AO80" s="2">
        <f t="shared" si="143"/>
        <v>-1038316738.3735274</v>
      </c>
      <c r="AP80" s="2">
        <f t="shared" si="144"/>
        <v>-1000389529.0927753</v>
      </c>
      <c r="AQ80" s="2">
        <f t="shared" si="145"/>
        <v>-962772676.4079268</v>
      </c>
      <c r="AR80" s="2">
        <f t="shared" si="146"/>
        <v>-925617009.21052825</v>
      </c>
      <c r="AS80" s="2">
        <f t="shared" si="147"/>
        <v>-889068195.13324499</v>
      </c>
      <c r="AT80" s="2">
        <f t="shared" si="148"/>
        <v>-853265115.94538689</v>
      </c>
      <c r="AU80" s="2">
        <f t="shared" si="149"/>
        <v>-818338323.29710126</v>
      </c>
      <c r="AV80" s="2">
        <f t="shared" si="150"/>
        <v>-784408592.72140324</v>
      </c>
      <c r="AW80" s="2">
        <f t="shared" si="151"/>
        <v>-751585592.41994786</v>
      </c>
      <c r="AX80" s="2">
        <f t="shared" si="152"/>
        <v>-719966681.76432407</v>
      </c>
      <c r="AY80" s="2">
        <f t="shared" si="153"/>
        <v>-689635852.67194152</v>
      </c>
      <c r="AZ80" s="2">
        <f t="shared" si="154"/>
        <v>-660662825.09916246</v>
      </c>
      <c r="BA80" s="2">
        <f t="shared" si="155"/>
        <v>-633102305.87062514</v>
      </c>
      <c r="BB80" s="2">
        <f t="shared" si="156"/>
        <v>-606993417.96955144</v>
      </c>
      <c r="BC80" s="2">
        <f t="shared" si="157"/>
        <v>-582359305.28550208</v>
      </c>
      <c r="BD80" s="2">
        <f t="shared" si="158"/>
        <v>-559206915.68819916</v>
      </c>
      <c r="BE80" s="2">
        <f t="shared" si="159"/>
        <v>-537526963.20091712</v>
      </c>
      <c r="BF80" s="2">
        <f t="shared" si="160"/>
        <v>-517294068.01358443</v>
      </c>
      <c r="BG80" s="2">
        <f t="shared" si="161"/>
        <v>-498467071.12941599</v>
      </c>
      <c r="BH80" s="2">
        <f t="shared" si="162"/>
        <v>-480989518.60071981</v>
      </c>
      <c r="BI80" s="2">
        <f t="shared" si="163"/>
        <v>-464790308.59624922</v>
      </c>
      <c r="BJ80" s="2">
        <f t="shared" si="164"/>
        <v>-449784492.96644408</v>
      </c>
      <c r="BK80" s="2">
        <f t="shared" si="165"/>
        <v>-435874223.54223347</v>
      </c>
      <c r="BL80" s="2">
        <f t="shared" si="166"/>
        <v>-422949832.12194687</v>
      </c>
      <c r="BM80" s="2">
        <f t="shared" si="167"/>
        <v>-410891031.97002226</v>
      </c>
      <c r="BN80" s="2">
        <f t="shared" si="168"/>
        <v>-399568227.668441</v>
      </c>
      <c r="BO80" s="2">
        <f t="shared" si="169"/>
        <v>-388843919.32276773</v>
      </c>
      <c r="BP80" s="2">
        <f t="shared" si="170"/>
        <v>-378574186.4233948</v>
      </c>
      <c r="BQ80" s="2">
        <f t="shared" si="171"/>
        <v>-368610236.09235442</v>
      </c>
      <c r="BR80" s="2">
        <f t="shared" si="172"/>
        <v>-358800000</v>
      </c>
      <c r="BT80" s="16"/>
      <c r="BU80" s="37">
        <v>0.08</v>
      </c>
      <c r="BV80" s="2">
        <f t="shared" si="173"/>
        <v>0.40647187995004247</v>
      </c>
      <c r="BW80" s="2">
        <f t="shared" si="174"/>
        <v>0.40647187995004247</v>
      </c>
      <c r="BX80" s="2">
        <f t="shared" si="175"/>
        <v>0.40647187995004247</v>
      </c>
      <c r="BY80" s="2">
        <f t="shared" si="176"/>
        <v>0.40647187995004247</v>
      </c>
      <c r="BZ80" s="2">
        <f t="shared" si="177"/>
        <v>0.40647187995004247</v>
      </c>
      <c r="CA80" s="2">
        <f t="shared" si="178"/>
        <v>0.40647187995004247</v>
      </c>
      <c r="CB80" s="2">
        <f t="shared" si="179"/>
        <v>0.40647187995004247</v>
      </c>
      <c r="CC80" s="2">
        <f t="shared" si="180"/>
        <v>0.40647187995004247</v>
      </c>
      <c r="CD80" s="2">
        <f t="shared" si="181"/>
        <v>0.40647187995004247</v>
      </c>
      <c r="CE80" s="2">
        <f t="shared" si="182"/>
        <v>0.40647187995004247</v>
      </c>
      <c r="CF80" s="2">
        <f t="shared" si="183"/>
        <v>0.40647187995004247</v>
      </c>
      <c r="CG80" s="2">
        <f t="shared" si="184"/>
        <v>0.40647187995004247</v>
      </c>
      <c r="CH80" s="2">
        <f t="shared" si="185"/>
        <v>0.40647187995004247</v>
      </c>
      <c r="CI80" s="2">
        <f t="shared" si="186"/>
        <v>0.40647187995004247</v>
      </c>
      <c r="CJ80" s="2">
        <f t="shared" si="187"/>
        <v>0.40647187995004247</v>
      </c>
      <c r="CK80" s="2">
        <f t="shared" si="188"/>
        <v>0.40647187995004247</v>
      </c>
      <c r="CL80" s="2">
        <f t="shared" si="189"/>
        <v>0.40647187995004247</v>
      </c>
      <c r="CM80" s="2">
        <f t="shared" si="190"/>
        <v>0.40647187995004247</v>
      </c>
      <c r="CN80" s="2">
        <f t="shared" si="191"/>
        <v>0.40647187995004247</v>
      </c>
      <c r="CO80" s="2">
        <f t="shared" si="192"/>
        <v>0.40647187995004247</v>
      </c>
      <c r="CP80" s="2">
        <f t="shared" si="193"/>
        <v>0.40647187995004247</v>
      </c>
      <c r="CQ80" s="2">
        <f t="shared" si="194"/>
        <v>0.40647187995004247</v>
      </c>
      <c r="CR80" s="2">
        <f t="shared" si="195"/>
        <v>0.40647187995004247</v>
      </c>
      <c r="CS80" s="2">
        <f t="shared" si="196"/>
        <v>0.40647187995004247</v>
      </c>
      <c r="CT80" s="2">
        <f t="shared" si="197"/>
        <v>0.40647187995004247</v>
      </c>
      <c r="CU80" s="2">
        <f t="shared" si="198"/>
        <v>0.40647187995004247</v>
      </c>
      <c r="CV80" s="2">
        <f t="shared" si="199"/>
        <v>0.40647187995004247</v>
      </c>
      <c r="CW80" s="2">
        <f t="shared" si="200"/>
        <v>0.40647187995004247</v>
      </c>
      <c r="CX80" s="2">
        <f t="shared" si="201"/>
        <v>0.40647187995004247</v>
      </c>
      <c r="CY80" s="2">
        <f t="shared" si="202"/>
        <v>0.40647187995004247</v>
      </c>
      <c r="CZ80" s="2">
        <f t="shared" si="203"/>
        <v>0.40647187995004247</v>
      </c>
      <c r="DB80" s="16"/>
      <c r="DC80" s="37">
        <v>0.08</v>
      </c>
      <c r="DD80" s="2">
        <f t="shared" si="204"/>
        <v>178.05843601498725</v>
      </c>
      <c r="DE80" s="2">
        <f t="shared" si="205"/>
        <v>171.75869056389169</v>
      </c>
      <c r="DF80" s="2">
        <f t="shared" si="206"/>
        <v>165.48475934227909</v>
      </c>
      <c r="DG80" s="2">
        <f t="shared" si="207"/>
        <v>159.2621674091034</v>
      </c>
      <c r="DH80" s="2">
        <f t="shared" si="208"/>
        <v>153.11586492836932</v>
      </c>
      <c r="DI80" s="2">
        <f t="shared" si="209"/>
        <v>147.06994828696875</v>
      </c>
      <c r="DJ80" s="2">
        <f t="shared" si="210"/>
        <v>141.14739135208319</v>
      </c>
      <c r="DK80" s="2">
        <f t="shared" si="211"/>
        <v>135.36979001988934</v>
      </c>
      <c r="DL80" s="2">
        <f t="shared" si="212"/>
        <v>129.75712301810682</v>
      </c>
      <c r="DM80" s="2">
        <f t="shared" si="213"/>
        <v>124.32753169611074</v>
      </c>
      <c r="DN80" s="2">
        <f t="shared" si="214"/>
        <v>119.09712127262691</v>
      </c>
      <c r="DO80" s="2">
        <f t="shared" si="215"/>
        <v>114.07978571778902</v>
      </c>
      <c r="DP80" s="2">
        <f t="shared" si="216"/>
        <v>109.2870581293199</v>
      </c>
      <c r="DQ80" s="2">
        <f t="shared" si="217"/>
        <v>104.72798812783873</v>
      </c>
      <c r="DR80" s="2">
        <f t="shared" si="218"/>
        <v>100.40904744987905</v>
      </c>
      <c r="DS80" s="2">
        <f t="shared" si="219"/>
        <v>96.334064565134724</v>
      </c>
      <c r="DT80" s="2">
        <f t="shared" si="220"/>
        <v>92.504188792461534</v>
      </c>
      <c r="DU80" s="2">
        <f t="shared" si="221"/>
        <v>88.917884042587261</v>
      </c>
      <c r="DV80" s="2">
        <f t="shared" si="222"/>
        <v>85.570951979124217</v>
      </c>
      <c r="DW80" s="2">
        <f t="shared" si="223"/>
        <v>82.456584067516943</v>
      </c>
      <c r="DX80" s="2">
        <f t="shared" si="224"/>
        <v>79.565441677485865</v>
      </c>
      <c r="DY80" s="2">
        <f t="shared" si="225"/>
        <v>76.885763121118003</v>
      </c>
      <c r="DZ80" s="2">
        <f t="shared" si="226"/>
        <v>74.403496248048185</v>
      </c>
      <c r="EA80" s="2">
        <f t="shared" si="227"/>
        <v>72.102454982513024</v>
      </c>
      <c r="EB80" s="2">
        <f t="shared" si="228"/>
        <v>69.964497975134975</v>
      </c>
      <c r="EC80" s="2">
        <f t="shared" si="229"/>
        <v>67.969727355226951</v>
      </c>
      <c r="ED80" s="2">
        <f t="shared" si="230"/>
        <v>66.096705406840371</v>
      </c>
      <c r="EE80" s="2">
        <f t="shared" si="231"/>
        <v>64.322686852982073</v>
      </c>
      <c r="EF80" s="2">
        <f t="shared" si="232"/>
        <v>62.623864316421312</v>
      </c>
      <c r="EG80" s="2">
        <f t="shared" si="233"/>
        <v>60.975624431177856</v>
      </c>
      <c r="EH80" s="2">
        <f t="shared" si="234"/>
        <v>59.352812004995762</v>
      </c>
    </row>
    <row r="81" spans="5:138">
      <c r="E81" s="18"/>
      <c r="F81" s="37">
        <v>7.6666666666666675E-2</v>
      </c>
      <c r="G81" s="2">
        <f t="shared" si="139"/>
        <v>300</v>
      </c>
      <c r="H81" s="2">
        <f t="shared" si="235"/>
        <v>289.38593600154053</v>
      </c>
      <c r="I81" s="2">
        <f t="shared" si="236"/>
        <v>278.81536485305895</v>
      </c>
      <c r="J81" s="2">
        <f t="shared" si="237"/>
        <v>268.33129219841885</v>
      </c>
      <c r="K81" s="2">
        <f t="shared" si="238"/>
        <v>257.97575507539807</v>
      </c>
      <c r="L81" s="2">
        <f t="shared" si="239"/>
        <v>247.78935204382532</v>
      </c>
      <c r="M81" s="2">
        <f t="shared" si="240"/>
        <v>237.81079039726501</v>
      </c>
      <c r="N81" s="2">
        <f t="shared" si="241"/>
        <v>228.07645576842287</v>
      </c>
      <c r="O81" s="2">
        <f t="shared" si="242"/>
        <v>218.6200091196776</v>
      </c>
      <c r="P81" s="2">
        <f t="shared" si="243"/>
        <v>209.47201572462319</v>
      </c>
      <c r="Q81" s="2">
        <f t="shared" si="244"/>
        <v>200.65961030220848</v>
      </c>
      <c r="R81" s="2">
        <f t="shared" si="245"/>
        <v>192.20620197099822</v>
      </c>
      <c r="S81" s="2">
        <f t="shared" si="246"/>
        <v>184.13122215695722</v>
      </c>
      <c r="T81" s="2">
        <f t="shared" si="247"/>
        <v>176.44991802414302</v>
      </c>
      <c r="U81" s="2">
        <f t="shared" si="248"/>
        <v>169.17319341403331</v>
      </c>
      <c r="V81" s="2">
        <f t="shared" si="249"/>
        <v>162.30749868603738</v>
      </c>
      <c r="W81" s="2">
        <f t="shared" si="250"/>
        <v>155.85477025869542</v>
      </c>
      <c r="X81" s="2">
        <f t="shared" si="251"/>
        <v>149.81242006714524</v>
      </c>
      <c r="Y81" s="2">
        <f t="shared" si="252"/>
        <v>144.17337458572587</v>
      </c>
      <c r="Z81" s="2">
        <f t="shared" si="253"/>
        <v>138.92616252213378</v>
      </c>
      <c r="AA81" s="2">
        <f t="shared" si="254"/>
        <v>134.05504977723515</v>
      </c>
      <c r="AB81" s="2">
        <f t="shared" si="255"/>
        <v>129.54021978713746</v>
      </c>
      <c r="AC81" s="2">
        <f t="shared" si="256"/>
        <v>125.35799692487292</v>
      </c>
      <c r="AD81" s="2">
        <f t="shared" si="257"/>
        <v>121.4811102403103</v>
      </c>
      <c r="AE81" s="2">
        <f t="shared" si="258"/>
        <v>117.87899445985141</v>
      </c>
      <c r="AF81" s="2">
        <f t="shared" si="259"/>
        <v>114.51812485229158</v>
      </c>
      <c r="AG81" s="2">
        <f t="shared" si="260"/>
        <v>111.36238229332247</v>
      </c>
      <c r="AH81" s="2">
        <f t="shared" si="261"/>
        <v>108.37344462730427</v>
      </c>
      <c r="AI81" s="2">
        <f t="shared" si="262"/>
        <v>105.51120022948572</v>
      </c>
      <c r="AJ81" s="2">
        <f t="shared" si="263"/>
        <v>102.7341795129193</v>
      </c>
      <c r="AK81" s="2">
        <f t="shared" si="141"/>
        <v>100</v>
      </c>
      <c r="AL81" s="16"/>
      <c r="AM81" s="37">
        <v>7.6666666666666675E-2</v>
      </c>
      <c r="AN81" s="2">
        <f t="shared" si="142"/>
        <v>-1076400000</v>
      </c>
      <c r="AO81" s="2">
        <f t="shared" si="143"/>
        <v>-1038316738.3735274</v>
      </c>
      <c r="AP81" s="2">
        <f t="shared" si="144"/>
        <v>-1000389529.0927753</v>
      </c>
      <c r="AQ81" s="2">
        <f t="shared" si="145"/>
        <v>-962772676.4079268</v>
      </c>
      <c r="AR81" s="2">
        <f t="shared" si="146"/>
        <v>-925617009.21052825</v>
      </c>
      <c r="AS81" s="2">
        <f t="shared" si="147"/>
        <v>-889068195.13324499</v>
      </c>
      <c r="AT81" s="2">
        <f t="shared" si="148"/>
        <v>-853265115.94538689</v>
      </c>
      <c r="AU81" s="2">
        <f t="shared" si="149"/>
        <v>-818338323.29710126</v>
      </c>
      <c r="AV81" s="2">
        <f t="shared" si="150"/>
        <v>-784408592.72140324</v>
      </c>
      <c r="AW81" s="2">
        <f t="shared" si="151"/>
        <v>-751585592.41994786</v>
      </c>
      <c r="AX81" s="2">
        <f t="shared" si="152"/>
        <v>-719966681.76432407</v>
      </c>
      <c r="AY81" s="2">
        <f t="shared" si="153"/>
        <v>-689635852.67194152</v>
      </c>
      <c r="AZ81" s="2">
        <f t="shared" si="154"/>
        <v>-660662825.09916246</v>
      </c>
      <c r="BA81" s="2">
        <f t="shared" si="155"/>
        <v>-633102305.87062514</v>
      </c>
      <c r="BB81" s="2">
        <f t="shared" si="156"/>
        <v>-606993417.96955144</v>
      </c>
      <c r="BC81" s="2">
        <f t="shared" si="157"/>
        <v>-582359305.28550208</v>
      </c>
      <c r="BD81" s="2">
        <f t="shared" si="158"/>
        <v>-559206915.68819916</v>
      </c>
      <c r="BE81" s="2">
        <f t="shared" si="159"/>
        <v>-537526963.20091712</v>
      </c>
      <c r="BF81" s="2">
        <f t="shared" si="160"/>
        <v>-517294068.01358432</v>
      </c>
      <c r="BG81" s="2">
        <f t="shared" si="161"/>
        <v>-498467071.12941587</v>
      </c>
      <c r="BH81" s="2">
        <f t="shared" si="162"/>
        <v>-480989518.60071981</v>
      </c>
      <c r="BI81" s="2">
        <f t="shared" si="163"/>
        <v>-464790308.59624922</v>
      </c>
      <c r="BJ81" s="2">
        <f t="shared" si="164"/>
        <v>-449784492.96644408</v>
      </c>
      <c r="BK81" s="2">
        <f t="shared" si="165"/>
        <v>-435874223.54223347</v>
      </c>
      <c r="BL81" s="2">
        <f t="shared" si="166"/>
        <v>-422949832.12194687</v>
      </c>
      <c r="BM81" s="2">
        <f t="shared" si="167"/>
        <v>-410891031.97002226</v>
      </c>
      <c r="BN81" s="2">
        <f t="shared" si="168"/>
        <v>-399568227.668441</v>
      </c>
      <c r="BO81" s="2">
        <f t="shared" si="169"/>
        <v>-388843919.32276773</v>
      </c>
      <c r="BP81" s="2">
        <f t="shared" si="170"/>
        <v>-378574186.4233948</v>
      </c>
      <c r="BQ81" s="2">
        <f t="shared" si="171"/>
        <v>-368610236.09235442</v>
      </c>
      <c r="BR81" s="2">
        <f t="shared" si="172"/>
        <v>-358800000</v>
      </c>
      <c r="BT81" s="16"/>
      <c r="BU81" s="37">
        <v>7.6666666666666675E-2</v>
      </c>
      <c r="BV81" s="2">
        <f t="shared" si="173"/>
        <v>0.40647187995004247</v>
      </c>
      <c r="BW81" s="2">
        <f t="shared" si="174"/>
        <v>0.40647187995004247</v>
      </c>
      <c r="BX81" s="2">
        <f t="shared" si="175"/>
        <v>0.40647187995004247</v>
      </c>
      <c r="BY81" s="2">
        <f t="shared" si="176"/>
        <v>0.40647187995004247</v>
      </c>
      <c r="BZ81" s="2">
        <f t="shared" si="177"/>
        <v>0.40647187995004247</v>
      </c>
      <c r="CA81" s="2">
        <f t="shared" si="178"/>
        <v>0.40647187995004247</v>
      </c>
      <c r="CB81" s="2">
        <f t="shared" si="179"/>
        <v>0.40647187995004247</v>
      </c>
      <c r="CC81" s="2">
        <f t="shared" si="180"/>
        <v>0.40647187995004247</v>
      </c>
      <c r="CD81" s="2">
        <f t="shared" si="181"/>
        <v>0.40647187995004247</v>
      </c>
      <c r="CE81" s="2">
        <f t="shared" si="182"/>
        <v>0.40647187995004247</v>
      </c>
      <c r="CF81" s="2">
        <f t="shared" si="183"/>
        <v>0.40647187995004247</v>
      </c>
      <c r="CG81" s="2">
        <f t="shared" si="184"/>
        <v>0.40647187995004247</v>
      </c>
      <c r="CH81" s="2">
        <f t="shared" si="185"/>
        <v>0.40647187995004247</v>
      </c>
      <c r="CI81" s="2">
        <f t="shared" si="186"/>
        <v>0.40647187995004247</v>
      </c>
      <c r="CJ81" s="2">
        <f t="shared" si="187"/>
        <v>0.40647187995004247</v>
      </c>
      <c r="CK81" s="2">
        <f t="shared" si="188"/>
        <v>0.40647187995004247</v>
      </c>
      <c r="CL81" s="2">
        <f t="shared" si="189"/>
        <v>0.40647187995004247</v>
      </c>
      <c r="CM81" s="2">
        <f t="shared" si="190"/>
        <v>0.40647187995004247</v>
      </c>
      <c r="CN81" s="2">
        <f t="shared" si="191"/>
        <v>0.40647187995004247</v>
      </c>
      <c r="CO81" s="2">
        <f t="shared" si="192"/>
        <v>0.40647187995004247</v>
      </c>
      <c r="CP81" s="2">
        <f t="shared" si="193"/>
        <v>0.40647187995004247</v>
      </c>
      <c r="CQ81" s="2">
        <f t="shared" si="194"/>
        <v>0.40647187995004247</v>
      </c>
      <c r="CR81" s="2">
        <f t="shared" si="195"/>
        <v>0.40647187995004247</v>
      </c>
      <c r="CS81" s="2">
        <f t="shared" si="196"/>
        <v>0.40647187995004247</v>
      </c>
      <c r="CT81" s="2">
        <f t="shared" si="197"/>
        <v>0.40647187995004247</v>
      </c>
      <c r="CU81" s="2">
        <f t="shared" si="198"/>
        <v>0.40647187995004247</v>
      </c>
      <c r="CV81" s="2">
        <f t="shared" si="199"/>
        <v>0.40647187995004247</v>
      </c>
      <c r="CW81" s="2">
        <f t="shared" si="200"/>
        <v>0.40647187995004247</v>
      </c>
      <c r="CX81" s="2">
        <f t="shared" si="201"/>
        <v>0.40647187995004247</v>
      </c>
      <c r="CY81" s="2">
        <f t="shared" si="202"/>
        <v>0.40647187995004247</v>
      </c>
      <c r="CZ81" s="2">
        <f t="shared" si="203"/>
        <v>0.40647187995004247</v>
      </c>
      <c r="DB81" s="16"/>
      <c r="DC81" s="37">
        <v>7.6666666666666675E-2</v>
      </c>
      <c r="DD81" s="2">
        <f t="shared" si="204"/>
        <v>178.05843601498725</v>
      </c>
      <c r="DE81" s="2">
        <f t="shared" si="205"/>
        <v>171.75869056389169</v>
      </c>
      <c r="DF81" s="2">
        <f t="shared" si="206"/>
        <v>165.48475934227909</v>
      </c>
      <c r="DG81" s="2">
        <f t="shared" si="207"/>
        <v>159.2621674091034</v>
      </c>
      <c r="DH81" s="2">
        <f t="shared" si="208"/>
        <v>153.11586492836932</v>
      </c>
      <c r="DI81" s="2">
        <f t="shared" si="209"/>
        <v>147.06994828696872</v>
      </c>
      <c r="DJ81" s="2">
        <f t="shared" si="210"/>
        <v>141.14739135208319</v>
      </c>
      <c r="DK81" s="2">
        <f t="shared" si="211"/>
        <v>135.36979001988931</v>
      </c>
      <c r="DL81" s="2">
        <f t="shared" si="212"/>
        <v>129.7571230181068</v>
      </c>
      <c r="DM81" s="2">
        <f t="shared" si="213"/>
        <v>124.32753169611074</v>
      </c>
      <c r="DN81" s="2">
        <f t="shared" si="214"/>
        <v>119.09712127262691</v>
      </c>
      <c r="DO81" s="2">
        <f t="shared" si="215"/>
        <v>114.07978571778902</v>
      </c>
      <c r="DP81" s="2">
        <f t="shared" si="216"/>
        <v>109.2870581293199</v>
      </c>
      <c r="DQ81" s="2">
        <f t="shared" si="217"/>
        <v>104.72798812783873</v>
      </c>
      <c r="DR81" s="2">
        <f t="shared" si="218"/>
        <v>100.40904744987904</v>
      </c>
      <c r="DS81" s="2">
        <f t="shared" si="219"/>
        <v>96.33406456513471</v>
      </c>
      <c r="DT81" s="2">
        <f t="shared" si="220"/>
        <v>92.504188792461534</v>
      </c>
      <c r="DU81" s="2">
        <f t="shared" si="221"/>
        <v>88.917884042587261</v>
      </c>
      <c r="DV81" s="2">
        <f t="shared" si="222"/>
        <v>85.570951979124189</v>
      </c>
      <c r="DW81" s="2">
        <f t="shared" si="223"/>
        <v>82.456584067516914</v>
      </c>
      <c r="DX81" s="2">
        <f t="shared" si="224"/>
        <v>79.565441677485865</v>
      </c>
      <c r="DY81" s="2">
        <f t="shared" si="225"/>
        <v>76.885763121118003</v>
      </c>
      <c r="DZ81" s="2">
        <f t="shared" si="226"/>
        <v>74.403496248048185</v>
      </c>
      <c r="EA81" s="2">
        <f t="shared" si="227"/>
        <v>72.102454982513024</v>
      </c>
      <c r="EB81" s="2">
        <f t="shared" si="228"/>
        <v>69.964497975134975</v>
      </c>
      <c r="EC81" s="2">
        <f t="shared" si="229"/>
        <v>67.969727355226951</v>
      </c>
      <c r="ED81" s="2">
        <f t="shared" si="230"/>
        <v>66.096705406840371</v>
      </c>
      <c r="EE81" s="2">
        <f t="shared" si="231"/>
        <v>64.322686852982073</v>
      </c>
      <c r="EF81" s="2">
        <f t="shared" si="232"/>
        <v>62.623864316421312</v>
      </c>
      <c r="EG81" s="2">
        <f t="shared" si="233"/>
        <v>60.975624431177856</v>
      </c>
      <c r="EH81" s="2">
        <f t="shared" si="234"/>
        <v>59.352812004995762</v>
      </c>
    </row>
    <row r="82" spans="5:138">
      <c r="E82" s="18"/>
      <c r="F82" s="37">
        <v>7.3333333333333334E-2</v>
      </c>
      <c r="G82" s="2">
        <f t="shared" si="139"/>
        <v>300</v>
      </c>
      <c r="H82" s="2">
        <f t="shared" si="235"/>
        <v>289.38593600154053</v>
      </c>
      <c r="I82" s="2">
        <f t="shared" si="236"/>
        <v>278.81536485305895</v>
      </c>
      <c r="J82" s="2">
        <f t="shared" si="237"/>
        <v>268.33129219841885</v>
      </c>
      <c r="K82" s="2">
        <f t="shared" si="238"/>
        <v>257.97575507539807</v>
      </c>
      <c r="L82" s="2">
        <f t="shared" si="239"/>
        <v>247.78935204382526</v>
      </c>
      <c r="M82" s="2">
        <f t="shared" si="240"/>
        <v>237.81079039726495</v>
      </c>
      <c r="N82" s="2">
        <f t="shared" si="241"/>
        <v>228.07645576842282</v>
      </c>
      <c r="O82" s="2">
        <f t="shared" si="242"/>
        <v>218.62000911967755</v>
      </c>
      <c r="P82" s="2">
        <f t="shared" si="243"/>
        <v>209.47201572462316</v>
      </c>
      <c r="Q82" s="2">
        <f t="shared" si="244"/>
        <v>200.65961030220848</v>
      </c>
      <c r="R82" s="2">
        <f t="shared" si="245"/>
        <v>192.20620197099819</v>
      </c>
      <c r="S82" s="2">
        <f t="shared" si="246"/>
        <v>184.13122215695722</v>
      </c>
      <c r="T82" s="2">
        <f t="shared" si="247"/>
        <v>176.44991802414302</v>
      </c>
      <c r="U82" s="2">
        <f t="shared" si="248"/>
        <v>169.17319341403328</v>
      </c>
      <c r="V82" s="2">
        <f t="shared" si="249"/>
        <v>162.30749868603735</v>
      </c>
      <c r="W82" s="2">
        <f t="shared" si="250"/>
        <v>155.85477025869542</v>
      </c>
      <c r="X82" s="2">
        <f t="shared" si="251"/>
        <v>149.81242006714524</v>
      </c>
      <c r="Y82" s="2">
        <f t="shared" si="252"/>
        <v>144.17337458572587</v>
      </c>
      <c r="Z82" s="2">
        <f t="shared" si="253"/>
        <v>138.92616252213378</v>
      </c>
      <c r="AA82" s="2">
        <f t="shared" si="254"/>
        <v>134.05504977723515</v>
      </c>
      <c r="AB82" s="2">
        <f t="shared" si="255"/>
        <v>129.54021978713746</v>
      </c>
      <c r="AC82" s="2">
        <f t="shared" si="256"/>
        <v>125.35799692487292</v>
      </c>
      <c r="AD82" s="2">
        <f t="shared" si="257"/>
        <v>121.4811102403103</v>
      </c>
      <c r="AE82" s="2">
        <f t="shared" si="258"/>
        <v>117.87899445985141</v>
      </c>
      <c r="AF82" s="2">
        <f t="shared" si="259"/>
        <v>114.51812485229158</v>
      </c>
      <c r="AG82" s="2">
        <f t="shared" si="260"/>
        <v>111.36238229332247</v>
      </c>
      <c r="AH82" s="2">
        <f t="shared" si="261"/>
        <v>108.37344462730425</v>
      </c>
      <c r="AI82" s="2">
        <f t="shared" si="262"/>
        <v>105.51120022948572</v>
      </c>
      <c r="AJ82" s="2">
        <f t="shared" si="263"/>
        <v>102.7341795129193</v>
      </c>
      <c r="AK82" s="2">
        <f t="shared" si="141"/>
        <v>100</v>
      </c>
      <c r="AL82" s="16"/>
      <c r="AM82" s="37">
        <v>7.3333333333333334E-2</v>
      </c>
      <c r="AN82" s="2">
        <f t="shared" si="142"/>
        <v>-1076400000</v>
      </c>
      <c r="AO82" s="2">
        <f t="shared" si="143"/>
        <v>-1038316738.3735274</v>
      </c>
      <c r="AP82" s="2">
        <f t="shared" si="144"/>
        <v>-1000389529.0927753</v>
      </c>
      <c r="AQ82" s="2">
        <f t="shared" si="145"/>
        <v>-962772676.4079268</v>
      </c>
      <c r="AR82" s="2">
        <f t="shared" si="146"/>
        <v>-925617009.21052825</v>
      </c>
      <c r="AS82" s="2">
        <f t="shared" si="147"/>
        <v>-889068195.13324499</v>
      </c>
      <c r="AT82" s="2">
        <f t="shared" si="148"/>
        <v>-853265115.94538641</v>
      </c>
      <c r="AU82" s="2">
        <f t="shared" si="149"/>
        <v>-818338323.29710102</v>
      </c>
      <c r="AV82" s="2">
        <f t="shared" si="150"/>
        <v>-784408592.72140312</v>
      </c>
      <c r="AW82" s="2">
        <f t="shared" si="151"/>
        <v>-751585592.41994786</v>
      </c>
      <c r="AX82" s="2">
        <f t="shared" si="152"/>
        <v>-719966681.76432407</v>
      </c>
      <c r="AY82" s="2">
        <f t="shared" si="153"/>
        <v>-689635852.67194152</v>
      </c>
      <c r="AZ82" s="2">
        <f t="shared" si="154"/>
        <v>-660662825.09916246</v>
      </c>
      <c r="BA82" s="2">
        <f t="shared" si="155"/>
        <v>-633102305.87062514</v>
      </c>
      <c r="BB82" s="2">
        <f t="shared" si="156"/>
        <v>-606993417.96955132</v>
      </c>
      <c r="BC82" s="2">
        <f t="shared" si="157"/>
        <v>-582359305.28550196</v>
      </c>
      <c r="BD82" s="2">
        <f t="shared" si="158"/>
        <v>-559206915.68819916</v>
      </c>
      <c r="BE82" s="2">
        <f t="shared" si="159"/>
        <v>-537526963.20091712</v>
      </c>
      <c r="BF82" s="2">
        <f t="shared" si="160"/>
        <v>-517294068.01358432</v>
      </c>
      <c r="BG82" s="2">
        <f t="shared" si="161"/>
        <v>-498467071.12941587</v>
      </c>
      <c r="BH82" s="2">
        <f t="shared" si="162"/>
        <v>-480989518.60071981</v>
      </c>
      <c r="BI82" s="2">
        <f t="shared" si="163"/>
        <v>-464790308.59624922</v>
      </c>
      <c r="BJ82" s="2">
        <f t="shared" si="164"/>
        <v>-449784492.96644408</v>
      </c>
      <c r="BK82" s="2">
        <f t="shared" si="165"/>
        <v>-435874223.54223347</v>
      </c>
      <c r="BL82" s="2">
        <f t="shared" si="166"/>
        <v>-422949832.12194687</v>
      </c>
      <c r="BM82" s="2">
        <f t="shared" si="167"/>
        <v>-410891031.97002226</v>
      </c>
      <c r="BN82" s="2">
        <f t="shared" si="168"/>
        <v>-399568227.668441</v>
      </c>
      <c r="BO82" s="2">
        <f t="shared" si="169"/>
        <v>-388843919.32276767</v>
      </c>
      <c r="BP82" s="2">
        <f t="shared" si="170"/>
        <v>-378574186.4233948</v>
      </c>
      <c r="BQ82" s="2">
        <f t="shared" si="171"/>
        <v>-368610236.09235442</v>
      </c>
      <c r="BR82" s="2">
        <f t="shared" si="172"/>
        <v>-358800000</v>
      </c>
      <c r="BT82" s="16"/>
      <c r="BU82" s="37">
        <v>7.3333333333333334E-2</v>
      </c>
      <c r="BV82" s="2">
        <f t="shared" si="173"/>
        <v>0.40647187995004247</v>
      </c>
      <c r="BW82" s="2">
        <f t="shared" si="174"/>
        <v>0.40647187995004247</v>
      </c>
      <c r="BX82" s="2">
        <f t="shared" si="175"/>
        <v>0.40647187995004247</v>
      </c>
      <c r="BY82" s="2">
        <f t="shared" si="176"/>
        <v>0.40647187995004247</v>
      </c>
      <c r="BZ82" s="2">
        <f t="shared" si="177"/>
        <v>0.40647187995004247</v>
      </c>
      <c r="CA82" s="2">
        <f t="shared" si="178"/>
        <v>0.40647187995004247</v>
      </c>
      <c r="CB82" s="2">
        <f t="shared" si="179"/>
        <v>0.40647187995004247</v>
      </c>
      <c r="CC82" s="2">
        <f t="shared" si="180"/>
        <v>0.40647187995004247</v>
      </c>
      <c r="CD82" s="2">
        <f t="shared" si="181"/>
        <v>0.40647187995004247</v>
      </c>
      <c r="CE82" s="2">
        <f t="shared" si="182"/>
        <v>0.40647187995004247</v>
      </c>
      <c r="CF82" s="2">
        <f t="shared" si="183"/>
        <v>0.40647187995004247</v>
      </c>
      <c r="CG82" s="2">
        <f t="shared" si="184"/>
        <v>0.40647187995004247</v>
      </c>
      <c r="CH82" s="2">
        <f t="shared" si="185"/>
        <v>0.40647187995004247</v>
      </c>
      <c r="CI82" s="2">
        <f t="shared" si="186"/>
        <v>0.40647187995004247</v>
      </c>
      <c r="CJ82" s="2">
        <f t="shared" si="187"/>
        <v>0.40647187995004247</v>
      </c>
      <c r="CK82" s="2">
        <f t="shared" si="188"/>
        <v>0.40647187995004247</v>
      </c>
      <c r="CL82" s="2">
        <f t="shared" si="189"/>
        <v>0.40647187995004247</v>
      </c>
      <c r="CM82" s="2">
        <f t="shared" si="190"/>
        <v>0.40647187995004247</v>
      </c>
      <c r="CN82" s="2">
        <f t="shared" si="191"/>
        <v>0.40647187995004247</v>
      </c>
      <c r="CO82" s="2">
        <f t="shared" si="192"/>
        <v>0.40647187995004247</v>
      </c>
      <c r="CP82" s="2">
        <f t="shared" si="193"/>
        <v>0.40647187995004247</v>
      </c>
      <c r="CQ82" s="2">
        <f t="shared" si="194"/>
        <v>0.40647187995004247</v>
      </c>
      <c r="CR82" s="2">
        <f t="shared" si="195"/>
        <v>0.40647187995004247</v>
      </c>
      <c r="CS82" s="2">
        <f t="shared" si="196"/>
        <v>0.40647187995004247</v>
      </c>
      <c r="CT82" s="2">
        <f t="shared" si="197"/>
        <v>0.40647187995004247</v>
      </c>
      <c r="CU82" s="2">
        <f t="shared" si="198"/>
        <v>0.40647187995004247</v>
      </c>
      <c r="CV82" s="2">
        <f t="shared" si="199"/>
        <v>0.40647187995004247</v>
      </c>
      <c r="CW82" s="2">
        <f t="shared" si="200"/>
        <v>0.40647187995004247</v>
      </c>
      <c r="CX82" s="2">
        <f t="shared" si="201"/>
        <v>0.40647187995004247</v>
      </c>
      <c r="CY82" s="2">
        <f t="shared" si="202"/>
        <v>0.40647187995004247</v>
      </c>
      <c r="CZ82" s="2">
        <f t="shared" si="203"/>
        <v>0.40647187995004247</v>
      </c>
      <c r="DB82" s="16"/>
      <c r="DC82" s="37">
        <v>7.3333333333333334E-2</v>
      </c>
      <c r="DD82" s="2">
        <f t="shared" si="204"/>
        <v>178.05843601498725</v>
      </c>
      <c r="DE82" s="2">
        <f t="shared" si="205"/>
        <v>171.75869056389169</v>
      </c>
      <c r="DF82" s="2">
        <f t="shared" si="206"/>
        <v>165.48475934227906</v>
      </c>
      <c r="DG82" s="2">
        <f t="shared" si="207"/>
        <v>159.2621674091034</v>
      </c>
      <c r="DH82" s="2">
        <f t="shared" si="208"/>
        <v>153.11586492836929</v>
      </c>
      <c r="DI82" s="2">
        <f t="shared" si="209"/>
        <v>147.0699482869687</v>
      </c>
      <c r="DJ82" s="2">
        <f t="shared" si="210"/>
        <v>141.14739135208313</v>
      </c>
      <c r="DK82" s="2">
        <f t="shared" si="211"/>
        <v>135.36979001988925</v>
      </c>
      <c r="DL82" s="2">
        <f t="shared" si="212"/>
        <v>129.75712301810677</v>
      </c>
      <c r="DM82" s="2">
        <f>(DM83*$B$22-AW82)/($B$21-$B$22*CE83)</f>
        <v>124.32753169611071</v>
      </c>
      <c r="DN82" s="2">
        <f t="shared" si="214"/>
        <v>119.09712127262688</v>
      </c>
      <c r="DO82" s="2">
        <f t="shared" si="215"/>
        <v>114.07978571778899</v>
      </c>
      <c r="DP82" s="2">
        <f t="shared" si="216"/>
        <v>109.2870581293199</v>
      </c>
      <c r="DQ82" s="2">
        <f t="shared" si="217"/>
        <v>104.72798812783871</v>
      </c>
      <c r="DR82" s="2">
        <f t="shared" si="218"/>
        <v>100.40904744987901</v>
      </c>
      <c r="DS82" s="2">
        <f t="shared" si="219"/>
        <v>96.334064565134682</v>
      </c>
      <c r="DT82" s="2">
        <f t="shared" si="220"/>
        <v>92.50418879246152</v>
      </c>
      <c r="DU82" s="2">
        <f t="shared" si="221"/>
        <v>88.917884042587232</v>
      </c>
      <c r="DV82" s="2">
        <f t="shared" si="222"/>
        <v>85.570951979124189</v>
      </c>
      <c r="DW82" s="2">
        <f t="shared" si="223"/>
        <v>82.456584067516914</v>
      </c>
      <c r="DX82" s="2">
        <f t="shared" si="224"/>
        <v>79.565441677485865</v>
      </c>
      <c r="DY82" s="2">
        <f t="shared" si="225"/>
        <v>76.885763121118003</v>
      </c>
      <c r="DZ82" s="2">
        <f t="shared" si="226"/>
        <v>74.403496248048185</v>
      </c>
      <c r="EA82" s="2">
        <f t="shared" si="227"/>
        <v>72.102454982513024</v>
      </c>
      <c r="EB82" s="2">
        <f t="shared" si="228"/>
        <v>69.964497975134975</v>
      </c>
      <c r="EC82" s="2">
        <f t="shared" si="229"/>
        <v>67.969727355226951</v>
      </c>
      <c r="ED82" s="2">
        <f t="shared" si="230"/>
        <v>66.096705406840357</v>
      </c>
      <c r="EE82" s="2">
        <f t="shared" si="231"/>
        <v>64.322686852982059</v>
      </c>
      <c r="EF82" s="2">
        <f t="shared" si="232"/>
        <v>62.623864316421312</v>
      </c>
      <c r="EG82" s="2">
        <f t="shared" si="233"/>
        <v>60.975624431177856</v>
      </c>
      <c r="EH82" s="2">
        <f t="shared" si="234"/>
        <v>59.352812004995762</v>
      </c>
    </row>
    <row r="83" spans="5:138">
      <c r="E83" s="18"/>
      <c r="F83" s="37">
        <v>7.0000000000000007E-2</v>
      </c>
      <c r="G83" s="2">
        <f t="shared" si="139"/>
        <v>300</v>
      </c>
      <c r="H83" s="2">
        <f t="shared" si="235"/>
        <v>289.38593600154047</v>
      </c>
      <c r="I83" s="2">
        <f t="shared" si="236"/>
        <v>278.8153648530589</v>
      </c>
      <c r="J83" s="2">
        <f t="shared" si="237"/>
        <v>268.33129219841885</v>
      </c>
      <c r="K83" s="2">
        <f t="shared" si="238"/>
        <v>257.97575507539801</v>
      </c>
      <c r="L83" s="2">
        <f t="shared" si="239"/>
        <v>247.7893520438252</v>
      </c>
      <c r="M83" s="2">
        <f t="shared" si="240"/>
        <v>237.8107903972649</v>
      </c>
      <c r="N83" s="2">
        <f t="shared" si="241"/>
        <v>228.0764557684227</v>
      </c>
      <c r="O83" s="2">
        <f t="shared" si="242"/>
        <v>218.62000911967749</v>
      </c>
      <c r="P83" s="2">
        <f t="shared" si="243"/>
        <v>209.47201572462311</v>
      </c>
      <c r="Q83" s="2">
        <f t="shared" si="244"/>
        <v>200.65961030220842</v>
      </c>
      <c r="R83" s="2">
        <f t="shared" si="245"/>
        <v>192.20620197099817</v>
      </c>
      <c r="S83" s="2">
        <f t="shared" si="246"/>
        <v>184.13122215695719</v>
      </c>
      <c r="T83" s="2">
        <f t="shared" si="247"/>
        <v>176.44991802414296</v>
      </c>
      <c r="U83" s="2">
        <f t="shared" si="248"/>
        <v>169.17319341403325</v>
      </c>
      <c r="V83" s="2">
        <f t="shared" si="249"/>
        <v>162.30749868603732</v>
      </c>
      <c r="W83" s="2">
        <f t="shared" si="250"/>
        <v>155.8547702586954</v>
      </c>
      <c r="X83" s="2">
        <f t="shared" si="251"/>
        <v>149.81242006714518</v>
      </c>
      <c r="Y83" s="2">
        <f t="shared" si="252"/>
        <v>144.17337458572584</v>
      </c>
      <c r="Z83" s="2">
        <f t="shared" si="253"/>
        <v>138.92616252213372</v>
      </c>
      <c r="AA83" s="2">
        <f t="shared" si="254"/>
        <v>134.05504977723513</v>
      </c>
      <c r="AB83" s="2">
        <f t="shared" si="255"/>
        <v>129.54021978713746</v>
      </c>
      <c r="AC83" s="2">
        <f t="shared" si="256"/>
        <v>125.35799692487291</v>
      </c>
      <c r="AD83" s="2">
        <f t="shared" si="257"/>
        <v>121.4811102403103</v>
      </c>
      <c r="AE83" s="2">
        <f t="shared" si="258"/>
        <v>117.87899445985138</v>
      </c>
      <c r="AF83" s="2">
        <f t="shared" si="259"/>
        <v>114.51812485229155</v>
      </c>
      <c r="AG83" s="2">
        <f t="shared" si="260"/>
        <v>111.36238229332244</v>
      </c>
      <c r="AH83" s="2">
        <f t="shared" si="261"/>
        <v>108.37344462730425</v>
      </c>
      <c r="AI83" s="2">
        <f t="shared" si="262"/>
        <v>105.51120022948572</v>
      </c>
      <c r="AJ83" s="2">
        <f t="shared" si="263"/>
        <v>102.7341795129193</v>
      </c>
      <c r="AK83" s="2">
        <f t="shared" si="141"/>
        <v>100</v>
      </c>
      <c r="AL83" s="16"/>
      <c r="AM83" s="37">
        <v>7.0000000000000007E-2</v>
      </c>
      <c r="AN83" s="2">
        <f t="shared" si="142"/>
        <v>-1076400000</v>
      </c>
      <c r="AO83" s="2">
        <f t="shared" si="143"/>
        <v>-1038316738.3735272</v>
      </c>
      <c r="AP83" s="2">
        <f t="shared" si="144"/>
        <v>-1000389529.0927753</v>
      </c>
      <c r="AQ83" s="2">
        <f t="shared" si="145"/>
        <v>-962772676.40792668</v>
      </c>
      <c r="AR83" s="2">
        <f t="shared" si="146"/>
        <v>-925617009.21052802</v>
      </c>
      <c r="AS83" s="2">
        <f t="shared" si="147"/>
        <v>-889068195.13324463</v>
      </c>
      <c r="AT83" s="2">
        <f t="shared" si="148"/>
        <v>-853265115.94538629</v>
      </c>
      <c r="AU83" s="2">
        <f t="shared" si="149"/>
        <v>-818338323.29710066</v>
      </c>
      <c r="AV83" s="2">
        <f t="shared" si="150"/>
        <v>-784408592.72140276</v>
      </c>
      <c r="AW83" s="2">
        <f t="shared" si="151"/>
        <v>-751585592.4199475</v>
      </c>
      <c r="AX83" s="2">
        <f t="shared" si="152"/>
        <v>-719966681.76432383</v>
      </c>
      <c r="AY83" s="2">
        <f t="shared" si="153"/>
        <v>-689635852.6719414</v>
      </c>
      <c r="AZ83" s="2">
        <f t="shared" si="154"/>
        <v>-660662825.09916246</v>
      </c>
      <c r="BA83" s="2">
        <f t="shared" si="155"/>
        <v>-633102305.87062502</v>
      </c>
      <c r="BB83" s="2">
        <f t="shared" si="156"/>
        <v>-606993417.96955121</v>
      </c>
      <c r="BC83" s="2">
        <f t="shared" si="157"/>
        <v>-582359305.28550172</v>
      </c>
      <c r="BD83" s="2">
        <f t="shared" si="158"/>
        <v>-559206915.68819892</v>
      </c>
      <c r="BE83" s="2">
        <f t="shared" si="159"/>
        <v>-537526963.20091689</v>
      </c>
      <c r="BF83" s="2">
        <f t="shared" si="160"/>
        <v>-517294068.0135842</v>
      </c>
      <c r="BG83" s="2">
        <f t="shared" si="161"/>
        <v>-498467071.12941581</v>
      </c>
      <c r="BH83" s="2">
        <f t="shared" si="162"/>
        <v>-480989518.60071963</v>
      </c>
      <c r="BI83" s="2">
        <f t="shared" si="163"/>
        <v>-464790308.5962491</v>
      </c>
      <c r="BJ83" s="2">
        <f t="shared" si="164"/>
        <v>-449784492.96644408</v>
      </c>
      <c r="BK83" s="2">
        <f t="shared" si="165"/>
        <v>-435874223.54223341</v>
      </c>
      <c r="BL83" s="2">
        <f t="shared" si="166"/>
        <v>-422949832.12194681</v>
      </c>
      <c r="BM83" s="2">
        <f t="shared" si="167"/>
        <v>-410891031.9700222</v>
      </c>
      <c r="BN83" s="2">
        <f t="shared" si="168"/>
        <v>-399568227.66844094</v>
      </c>
      <c r="BO83" s="2">
        <f t="shared" si="169"/>
        <v>-388843919.32276767</v>
      </c>
      <c r="BP83" s="2">
        <f t="shared" si="170"/>
        <v>-378574186.4233948</v>
      </c>
      <c r="BQ83" s="2">
        <f t="shared" si="171"/>
        <v>-368610236.09235442</v>
      </c>
      <c r="BR83" s="2">
        <f t="shared" si="172"/>
        <v>-358800000</v>
      </c>
      <c r="BT83" s="16"/>
      <c r="BU83" s="37">
        <v>7.0000000000000007E-2</v>
      </c>
      <c r="BV83" s="2">
        <f t="shared" si="173"/>
        <v>0.40647187995004247</v>
      </c>
      <c r="BW83" s="2">
        <f t="shared" si="174"/>
        <v>0.40647187995004247</v>
      </c>
      <c r="BX83" s="2">
        <f t="shared" si="175"/>
        <v>0.40647187995004247</v>
      </c>
      <c r="BY83" s="2">
        <f t="shared" si="176"/>
        <v>0.40647187995004247</v>
      </c>
      <c r="BZ83" s="2">
        <f t="shared" si="177"/>
        <v>0.40647187995004247</v>
      </c>
      <c r="CA83" s="2">
        <f t="shared" si="178"/>
        <v>0.40647187995004247</v>
      </c>
      <c r="CB83" s="2">
        <f t="shared" si="179"/>
        <v>0.40647187995004247</v>
      </c>
      <c r="CC83" s="2">
        <f t="shared" si="180"/>
        <v>0.40647187995004247</v>
      </c>
      <c r="CD83" s="2">
        <f t="shared" si="181"/>
        <v>0.40647187995004247</v>
      </c>
      <c r="CE83" s="2">
        <f t="shared" si="182"/>
        <v>0.40647187995004247</v>
      </c>
      <c r="CF83" s="2">
        <f t="shared" si="183"/>
        <v>0.40647187995004247</v>
      </c>
      <c r="CG83" s="2">
        <f t="shared" si="184"/>
        <v>0.40647187995004247</v>
      </c>
      <c r="CH83" s="2">
        <f t="shared" si="185"/>
        <v>0.40647187995004247</v>
      </c>
      <c r="CI83" s="2">
        <f t="shared" si="186"/>
        <v>0.40647187995004247</v>
      </c>
      <c r="CJ83" s="2">
        <f t="shared" si="187"/>
        <v>0.40647187995004247</v>
      </c>
      <c r="CK83" s="2">
        <f t="shared" si="188"/>
        <v>0.40647187995004247</v>
      </c>
      <c r="CL83" s="2">
        <f t="shared" si="189"/>
        <v>0.40647187995004247</v>
      </c>
      <c r="CM83" s="2">
        <f t="shared" si="190"/>
        <v>0.40647187995004247</v>
      </c>
      <c r="CN83" s="2">
        <f t="shared" si="191"/>
        <v>0.40647187995004247</v>
      </c>
      <c r="CO83" s="2">
        <f t="shared" si="192"/>
        <v>0.40647187995004247</v>
      </c>
      <c r="CP83" s="2">
        <f t="shared" si="193"/>
        <v>0.40647187995004247</v>
      </c>
      <c r="CQ83" s="2">
        <f t="shared" si="194"/>
        <v>0.40647187995004247</v>
      </c>
      <c r="CR83" s="2">
        <f t="shared" si="195"/>
        <v>0.40647187995004247</v>
      </c>
      <c r="CS83" s="2">
        <f t="shared" si="196"/>
        <v>0.40647187995004247</v>
      </c>
      <c r="CT83" s="2">
        <f t="shared" si="197"/>
        <v>0.40647187995004247</v>
      </c>
      <c r="CU83" s="2">
        <f t="shared" si="198"/>
        <v>0.40647187995004247</v>
      </c>
      <c r="CV83" s="2">
        <f t="shared" si="199"/>
        <v>0.40647187995004247</v>
      </c>
      <c r="CW83" s="2">
        <f t="shared" si="200"/>
        <v>0.40647187995004247</v>
      </c>
      <c r="CX83" s="2">
        <f t="shared" si="201"/>
        <v>0.40647187995004247</v>
      </c>
      <c r="CY83" s="2">
        <f t="shared" si="202"/>
        <v>0.40647187995004247</v>
      </c>
      <c r="CZ83" s="2">
        <f t="shared" si="203"/>
        <v>0.40647187995004247</v>
      </c>
      <c r="DB83" s="16"/>
      <c r="DC83" s="37">
        <v>7.0000000000000007E-2</v>
      </c>
      <c r="DD83" s="2">
        <f t="shared" si="204"/>
        <v>178.05843601498725</v>
      </c>
      <c r="DE83" s="2">
        <f t="shared" si="205"/>
        <v>171.75869056389163</v>
      </c>
      <c r="DF83" s="2">
        <f t="shared" si="206"/>
        <v>165.48475934227903</v>
      </c>
      <c r="DG83" s="2">
        <f t="shared" si="207"/>
        <v>159.26216740910334</v>
      </c>
      <c r="DH83" s="2">
        <f t="shared" si="208"/>
        <v>153.11586492836926</v>
      </c>
      <c r="DI83" s="2">
        <f t="shared" si="209"/>
        <v>147.06994828696864</v>
      </c>
      <c r="DJ83" s="2">
        <f t="shared" si="210"/>
        <v>141.1473913520831</v>
      </c>
      <c r="DK83" s="2">
        <f t="shared" si="211"/>
        <v>135.36979001988919</v>
      </c>
      <c r="DL83" s="2">
        <f t="shared" si="212"/>
        <v>129.75712301810671</v>
      </c>
      <c r="DM83" s="2">
        <f t="shared" si="213"/>
        <v>124.32753169611067</v>
      </c>
      <c r="DN83" s="2">
        <f t="shared" si="214"/>
        <v>119.09712127262684</v>
      </c>
      <c r="DO83" s="2">
        <f t="shared" si="215"/>
        <v>114.07978571778895</v>
      </c>
      <c r="DP83" s="2">
        <f t="shared" si="216"/>
        <v>109.28705812931987</v>
      </c>
      <c r="DQ83" s="2">
        <f t="shared" si="217"/>
        <v>104.72798812783867</v>
      </c>
      <c r="DR83" s="2">
        <f t="shared" si="218"/>
        <v>100.409047449879</v>
      </c>
      <c r="DS83" s="2">
        <f t="shared" si="219"/>
        <v>96.334064565134653</v>
      </c>
      <c r="DT83" s="2">
        <f t="shared" si="220"/>
        <v>92.504188792461491</v>
      </c>
      <c r="DU83" s="2">
        <f t="shared" si="221"/>
        <v>88.917884042587204</v>
      </c>
      <c r="DV83" s="2">
        <f t="shared" si="222"/>
        <v>85.57095197912416</v>
      </c>
      <c r="DW83" s="2">
        <f t="shared" si="223"/>
        <v>82.456584067516886</v>
      </c>
      <c r="DX83" s="2">
        <f t="shared" si="224"/>
        <v>79.565441677485822</v>
      </c>
      <c r="DY83" s="2">
        <f t="shared" si="225"/>
        <v>76.885763121117989</v>
      </c>
      <c r="DZ83" s="2">
        <f t="shared" si="226"/>
        <v>74.403496248048171</v>
      </c>
      <c r="EA83" s="2">
        <f t="shared" si="227"/>
        <v>72.102454982513009</v>
      </c>
      <c r="EB83" s="2">
        <f t="shared" si="228"/>
        <v>69.964497975134947</v>
      </c>
      <c r="EC83" s="2">
        <f t="shared" si="229"/>
        <v>67.969727355226922</v>
      </c>
      <c r="ED83" s="2">
        <f t="shared" si="230"/>
        <v>66.096705406840329</v>
      </c>
      <c r="EE83" s="2">
        <f t="shared" si="231"/>
        <v>64.322686852982059</v>
      </c>
      <c r="EF83" s="2">
        <f t="shared" si="232"/>
        <v>62.623864316421312</v>
      </c>
      <c r="EG83" s="2">
        <f t="shared" si="233"/>
        <v>60.975624431177849</v>
      </c>
      <c r="EH83" s="2">
        <f t="shared" si="234"/>
        <v>59.352812004995748</v>
      </c>
    </row>
    <row r="84" spans="5:138">
      <c r="E84" s="18"/>
      <c r="F84" s="37">
        <v>6.6666666666666666E-2</v>
      </c>
      <c r="G84" s="2">
        <f t="shared" si="139"/>
        <v>300</v>
      </c>
      <c r="H84" s="2">
        <f t="shared" si="235"/>
        <v>289.38593600154047</v>
      </c>
      <c r="I84" s="2">
        <f t="shared" si="236"/>
        <v>278.8153648530589</v>
      </c>
      <c r="J84" s="2">
        <f t="shared" si="237"/>
        <v>268.33129219841885</v>
      </c>
      <c r="K84" s="2">
        <f t="shared" si="238"/>
        <v>257.97575507539801</v>
      </c>
      <c r="L84" s="2">
        <f t="shared" si="239"/>
        <v>247.78935204382515</v>
      </c>
      <c r="M84" s="2">
        <f t="shared" si="240"/>
        <v>237.81079039726484</v>
      </c>
      <c r="N84" s="2">
        <f t="shared" si="241"/>
        <v>228.07645576842268</v>
      </c>
      <c r="O84" s="2">
        <f t="shared" si="242"/>
        <v>218.62000911967743</v>
      </c>
      <c r="P84" s="2">
        <f t="shared" si="243"/>
        <v>209.47201572462308</v>
      </c>
      <c r="Q84" s="2">
        <f t="shared" si="244"/>
        <v>200.65961030220834</v>
      </c>
      <c r="R84" s="2">
        <f t="shared" si="245"/>
        <v>192.20620197099811</v>
      </c>
      <c r="S84" s="2">
        <f t="shared" si="246"/>
        <v>184.13122215695711</v>
      </c>
      <c r="T84" s="2">
        <f t="shared" si="247"/>
        <v>176.4499180241429</v>
      </c>
      <c r="U84" s="2">
        <f t="shared" si="248"/>
        <v>169.17319341403319</v>
      </c>
      <c r="V84" s="2">
        <f t="shared" si="249"/>
        <v>162.30749868603726</v>
      </c>
      <c r="W84" s="2">
        <f t="shared" si="250"/>
        <v>155.85477025869537</v>
      </c>
      <c r="X84" s="2">
        <f t="shared" si="251"/>
        <v>149.81242006714515</v>
      </c>
      <c r="Y84" s="2">
        <f t="shared" si="252"/>
        <v>144.17337458572581</v>
      </c>
      <c r="Z84" s="2">
        <f t="shared" si="253"/>
        <v>138.92616252213369</v>
      </c>
      <c r="AA84" s="2">
        <f t="shared" si="254"/>
        <v>134.05504977723507</v>
      </c>
      <c r="AB84" s="2">
        <f t="shared" si="255"/>
        <v>129.5402197871374</v>
      </c>
      <c r="AC84" s="2">
        <f t="shared" si="256"/>
        <v>125.35799692487288</v>
      </c>
      <c r="AD84" s="2">
        <f t="shared" si="257"/>
        <v>121.48111024031027</v>
      </c>
      <c r="AE84" s="2">
        <f t="shared" si="258"/>
        <v>117.87899445985136</v>
      </c>
      <c r="AF84" s="2">
        <f t="shared" si="259"/>
        <v>114.51812485229154</v>
      </c>
      <c r="AG84" s="2">
        <f t="shared" si="260"/>
        <v>111.36238229332241</v>
      </c>
      <c r="AH84" s="2">
        <f t="shared" si="261"/>
        <v>108.37344462730422</v>
      </c>
      <c r="AI84" s="2">
        <f t="shared" si="262"/>
        <v>105.51120022948572</v>
      </c>
      <c r="AJ84" s="2">
        <f t="shared" si="263"/>
        <v>102.7341795129193</v>
      </c>
      <c r="AK84" s="2">
        <f t="shared" si="141"/>
        <v>100</v>
      </c>
      <c r="AL84" s="16"/>
      <c r="AM84" s="37">
        <v>6.6666666666666666E-2</v>
      </c>
      <c r="AN84" s="2">
        <f t="shared" si="142"/>
        <v>-1076400000</v>
      </c>
      <c r="AO84" s="2">
        <f t="shared" si="143"/>
        <v>-1038316738.3735272</v>
      </c>
      <c r="AP84" s="2">
        <f t="shared" si="144"/>
        <v>-1000389529.0927753</v>
      </c>
      <c r="AQ84" s="2">
        <f t="shared" si="145"/>
        <v>-962772676.40792668</v>
      </c>
      <c r="AR84" s="2">
        <f t="shared" si="146"/>
        <v>-925617009.21052802</v>
      </c>
      <c r="AS84" s="2">
        <f t="shared" si="147"/>
        <v>-889068195.13324463</v>
      </c>
      <c r="AT84" s="2">
        <f t="shared" si="148"/>
        <v>-853265115.94538605</v>
      </c>
      <c r="AU84" s="2">
        <f t="shared" si="149"/>
        <v>-818338323.29710054</v>
      </c>
      <c r="AV84" s="2">
        <f t="shared" si="150"/>
        <v>-784408592.72140265</v>
      </c>
      <c r="AW84" s="2">
        <f t="shared" si="151"/>
        <v>-751585592.41994739</v>
      </c>
      <c r="AX84" s="2">
        <f t="shared" si="152"/>
        <v>-719966681.76432347</v>
      </c>
      <c r="AY84" s="2">
        <f t="shared" si="153"/>
        <v>-689635852.67194116</v>
      </c>
      <c r="AZ84" s="2">
        <f t="shared" si="154"/>
        <v>-660662825.0991621</v>
      </c>
      <c r="BA84" s="2">
        <f t="shared" si="155"/>
        <v>-633102305.87062478</v>
      </c>
      <c r="BB84" s="2">
        <f t="shared" si="156"/>
        <v>-606993417.96955097</v>
      </c>
      <c r="BC84" s="2">
        <f t="shared" si="157"/>
        <v>-582359305.28550172</v>
      </c>
      <c r="BD84" s="2">
        <f t="shared" si="158"/>
        <v>-559206915.68819892</v>
      </c>
      <c r="BE84" s="2">
        <f t="shared" si="159"/>
        <v>-537526963.20091689</v>
      </c>
      <c r="BF84" s="2">
        <f t="shared" si="160"/>
        <v>-517294068.0135842</v>
      </c>
      <c r="BG84" s="2">
        <f t="shared" si="161"/>
        <v>-498467071.12941569</v>
      </c>
      <c r="BH84" s="2">
        <f t="shared" si="162"/>
        <v>-480989518.60071951</v>
      </c>
      <c r="BI84" s="2">
        <f t="shared" si="163"/>
        <v>-464790308.59624898</v>
      </c>
      <c r="BJ84" s="2">
        <f t="shared" si="164"/>
        <v>-449784492.96644396</v>
      </c>
      <c r="BK84" s="2">
        <f t="shared" si="165"/>
        <v>-435874223.54223329</v>
      </c>
      <c r="BL84" s="2">
        <f t="shared" si="166"/>
        <v>-422949832.12194669</v>
      </c>
      <c r="BM84" s="2">
        <f t="shared" si="167"/>
        <v>-410891031.97002202</v>
      </c>
      <c r="BN84" s="2">
        <f t="shared" si="168"/>
        <v>-399568227.66844082</v>
      </c>
      <c r="BO84" s="2">
        <f t="shared" si="169"/>
        <v>-388843919.32276756</v>
      </c>
      <c r="BP84" s="2">
        <f t="shared" si="170"/>
        <v>-378574186.42339474</v>
      </c>
      <c r="BQ84" s="2">
        <f t="shared" si="171"/>
        <v>-368610236.09235442</v>
      </c>
      <c r="BR84" s="2">
        <f t="shared" si="172"/>
        <v>-358800000</v>
      </c>
      <c r="BT84" s="16"/>
      <c r="BU84" s="37">
        <v>6.6666666666666666E-2</v>
      </c>
      <c r="BV84" s="2">
        <f t="shared" si="173"/>
        <v>0.40647187995004258</v>
      </c>
      <c r="BW84" s="2">
        <f t="shared" si="174"/>
        <v>0.40647187995004258</v>
      </c>
      <c r="BX84" s="2">
        <f t="shared" si="175"/>
        <v>0.40647187995004258</v>
      </c>
      <c r="BY84" s="2">
        <f t="shared" si="176"/>
        <v>0.40647187995004258</v>
      </c>
      <c r="BZ84" s="2">
        <f t="shared" si="177"/>
        <v>0.40647187995004258</v>
      </c>
      <c r="CA84" s="2">
        <f t="shared" si="178"/>
        <v>0.40647187995004258</v>
      </c>
      <c r="CB84" s="2">
        <f t="shared" si="179"/>
        <v>0.40647187995004258</v>
      </c>
      <c r="CC84" s="2">
        <f t="shared" si="180"/>
        <v>0.40647187995004258</v>
      </c>
      <c r="CD84" s="2">
        <f t="shared" si="181"/>
        <v>0.40647187995004258</v>
      </c>
      <c r="CE84" s="2">
        <f t="shared" si="182"/>
        <v>0.40647187995004258</v>
      </c>
      <c r="CF84" s="2">
        <f t="shared" si="183"/>
        <v>0.40647187995004258</v>
      </c>
      <c r="CG84" s="2">
        <f t="shared" si="184"/>
        <v>0.40647187995004258</v>
      </c>
      <c r="CH84" s="2">
        <f t="shared" si="185"/>
        <v>0.40647187995004258</v>
      </c>
      <c r="CI84" s="2">
        <f t="shared" si="186"/>
        <v>0.40647187995004258</v>
      </c>
      <c r="CJ84" s="2">
        <f t="shared" si="187"/>
        <v>0.40647187995004258</v>
      </c>
      <c r="CK84" s="2">
        <f t="shared" si="188"/>
        <v>0.40647187995004258</v>
      </c>
      <c r="CL84" s="2">
        <f t="shared" si="189"/>
        <v>0.40647187995004258</v>
      </c>
      <c r="CM84" s="2">
        <f t="shared" si="190"/>
        <v>0.40647187995004258</v>
      </c>
      <c r="CN84" s="2">
        <f t="shared" si="191"/>
        <v>0.40647187995004258</v>
      </c>
      <c r="CO84" s="2">
        <f t="shared" si="192"/>
        <v>0.40647187995004258</v>
      </c>
      <c r="CP84" s="2">
        <f t="shared" si="193"/>
        <v>0.40647187995004258</v>
      </c>
      <c r="CQ84" s="2">
        <f t="shared" si="194"/>
        <v>0.40647187995004258</v>
      </c>
      <c r="CR84" s="2">
        <f t="shared" si="195"/>
        <v>0.40647187995004258</v>
      </c>
      <c r="CS84" s="2">
        <f t="shared" si="196"/>
        <v>0.40647187995004258</v>
      </c>
      <c r="CT84" s="2">
        <f t="shared" si="197"/>
        <v>0.40647187995004258</v>
      </c>
      <c r="CU84" s="2">
        <f t="shared" si="198"/>
        <v>0.40647187995004258</v>
      </c>
      <c r="CV84" s="2">
        <f t="shared" si="199"/>
        <v>0.40647187995004258</v>
      </c>
      <c r="CW84" s="2">
        <f t="shared" si="200"/>
        <v>0.40647187995004258</v>
      </c>
      <c r="CX84" s="2">
        <f t="shared" si="201"/>
        <v>0.40647187995004258</v>
      </c>
      <c r="CY84" s="2">
        <f t="shared" si="202"/>
        <v>0.40647187995004258</v>
      </c>
      <c r="CZ84" s="2">
        <f t="shared" si="203"/>
        <v>0.40647187995004258</v>
      </c>
      <c r="DB84" s="16"/>
      <c r="DC84" s="37">
        <v>6.6666666666666666E-2</v>
      </c>
      <c r="DD84" s="2">
        <f t="shared" si="204"/>
        <v>178.05843601498719</v>
      </c>
      <c r="DE84" s="2">
        <f t="shared" si="205"/>
        <v>171.75869056389161</v>
      </c>
      <c r="DF84" s="2">
        <f t="shared" si="206"/>
        <v>165.48475934227901</v>
      </c>
      <c r="DG84" s="2">
        <f t="shared" si="207"/>
        <v>159.26216740910331</v>
      </c>
      <c r="DH84" s="2">
        <f t="shared" si="208"/>
        <v>153.11586492836923</v>
      </c>
      <c r="DI84" s="2">
        <f t="shared" si="209"/>
        <v>147.06994828696861</v>
      </c>
      <c r="DJ84" s="2">
        <f t="shared" si="210"/>
        <v>141.14739135208305</v>
      </c>
      <c r="DK84" s="2">
        <f t="shared" si="211"/>
        <v>135.36979001988917</v>
      </c>
      <c r="DL84" s="2">
        <f t="shared" si="212"/>
        <v>129.75712301810665</v>
      </c>
      <c r="DM84" s="2">
        <f t="shared" si="213"/>
        <v>124.32753169611063</v>
      </c>
      <c r="DN84" s="2">
        <f t="shared" si="214"/>
        <v>119.09712127262675</v>
      </c>
      <c r="DO84" s="2">
        <f t="shared" si="215"/>
        <v>114.07978571778889</v>
      </c>
      <c r="DP84" s="2">
        <f t="shared" si="216"/>
        <v>109.2870581293198</v>
      </c>
      <c r="DQ84" s="2">
        <f t="shared" si="217"/>
        <v>104.72798812783861</v>
      </c>
      <c r="DR84" s="2">
        <f t="shared" si="218"/>
        <v>100.40904744987894</v>
      </c>
      <c r="DS84" s="2">
        <f t="shared" si="219"/>
        <v>96.334064565134625</v>
      </c>
      <c r="DT84" s="2">
        <f t="shared" si="220"/>
        <v>92.504188792461463</v>
      </c>
      <c r="DU84" s="2">
        <f t="shared" si="221"/>
        <v>88.917884042587175</v>
      </c>
      <c r="DV84" s="2">
        <f t="shared" si="222"/>
        <v>85.570951979124132</v>
      </c>
      <c r="DW84" s="2">
        <f t="shared" si="223"/>
        <v>82.456584067516843</v>
      </c>
      <c r="DX84" s="2">
        <f t="shared" si="224"/>
        <v>79.565441677485779</v>
      </c>
      <c r="DY84" s="2">
        <f t="shared" si="225"/>
        <v>76.885763121117947</v>
      </c>
      <c r="DZ84" s="2">
        <f t="shared" si="226"/>
        <v>74.403496248048128</v>
      </c>
      <c r="EA84" s="2">
        <f t="shared" si="227"/>
        <v>72.102454982512981</v>
      </c>
      <c r="EB84" s="2">
        <f t="shared" si="228"/>
        <v>69.964497975134918</v>
      </c>
      <c r="EC84" s="2">
        <f t="shared" si="229"/>
        <v>67.969727355226894</v>
      </c>
      <c r="ED84" s="2">
        <f t="shared" si="230"/>
        <v>66.0967054068403</v>
      </c>
      <c r="EE84" s="2">
        <f t="shared" si="231"/>
        <v>64.322686852982031</v>
      </c>
      <c r="EF84" s="2">
        <f t="shared" si="232"/>
        <v>62.62386431642129</v>
      </c>
      <c r="EG84" s="2">
        <f t="shared" si="233"/>
        <v>60.975624431177835</v>
      </c>
      <c r="EH84" s="2">
        <f t="shared" si="234"/>
        <v>59.352812004995741</v>
      </c>
    </row>
    <row r="85" spans="5:138">
      <c r="E85" s="18"/>
      <c r="F85" s="37">
        <v>6.3333333333333339E-2</v>
      </c>
      <c r="G85" s="2">
        <f t="shared" si="139"/>
        <v>300</v>
      </c>
      <c r="H85" s="2">
        <f t="shared" si="235"/>
        <v>289.38593600154047</v>
      </c>
      <c r="I85" s="2">
        <f t="shared" si="236"/>
        <v>278.8153648530589</v>
      </c>
      <c r="J85" s="2">
        <f t="shared" si="237"/>
        <v>268.33129219841885</v>
      </c>
      <c r="K85" s="2">
        <f t="shared" si="238"/>
        <v>257.97575507539801</v>
      </c>
      <c r="L85" s="2">
        <f t="shared" si="239"/>
        <v>247.78935204382515</v>
      </c>
      <c r="M85" s="2">
        <f t="shared" si="240"/>
        <v>237.81079039726484</v>
      </c>
      <c r="N85" s="2">
        <f t="shared" si="241"/>
        <v>228.0764557684227</v>
      </c>
      <c r="O85" s="2">
        <f t="shared" si="242"/>
        <v>218.62000911967743</v>
      </c>
      <c r="P85" s="2">
        <f t="shared" si="243"/>
        <v>209.47201572462308</v>
      </c>
      <c r="Q85" s="2">
        <f t="shared" si="244"/>
        <v>200.65961030220831</v>
      </c>
      <c r="R85" s="2">
        <f t="shared" si="245"/>
        <v>192.20620197099811</v>
      </c>
      <c r="S85" s="2">
        <f t="shared" si="246"/>
        <v>184.13122215695711</v>
      </c>
      <c r="T85" s="2">
        <f t="shared" si="247"/>
        <v>176.4499180241429</v>
      </c>
      <c r="U85" s="2">
        <f t="shared" si="248"/>
        <v>169.17319341403316</v>
      </c>
      <c r="V85" s="2">
        <f t="shared" si="249"/>
        <v>162.30749868603726</v>
      </c>
      <c r="W85" s="2">
        <f t="shared" si="250"/>
        <v>155.85477025869537</v>
      </c>
      <c r="X85" s="2">
        <f t="shared" si="251"/>
        <v>149.81242006714515</v>
      </c>
      <c r="Y85" s="2">
        <f t="shared" si="252"/>
        <v>144.17337458572575</v>
      </c>
      <c r="Z85" s="2">
        <f t="shared" si="253"/>
        <v>138.92616252213367</v>
      </c>
      <c r="AA85" s="2">
        <f t="shared" si="254"/>
        <v>134.05504977723504</v>
      </c>
      <c r="AB85" s="2">
        <f t="shared" si="255"/>
        <v>129.54021978713737</v>
      </c>
      <c r="AC85" s="2">
        <f t="shared" si="256"/>
        <v>125.35799692487286</v>
      </c>
      <c r="AD85" s="2">
        <f t="shared" si="257"/>
        <v>121.48111024031026</v>
      </c>
      <c r="AE85" s="2">
        <f t="shared" si="258"/>
        <v>117.87899445985136</v>
      </c>
      <c r="AF85" s="2">
        <f t="shared" si="259"/>
        <v>114.51812485229152</v>
      </c>
      <c r="AG85" s="2">
        <f t="shared" si="260"/>
        <v>111.36238229332241</v>
      </c>
      <c r="AH85" s="2">
        <f t="shared" si="261"/>
        <v>108.37344462730422</v>
      </c>
      <c r="AI85" s="2">
        <f t="shared" si="262"/>
        <v>105.51120022948572</v>
      </c>
      <c r="AJ85" s="2">
        <f t="shared" si="263"/>
        <v>102.7341795129193</v>
      </c>
      <c r="AK85" s="2">
        <f t="shared" si="141"/>
        <v>100</v>
      </c>
      <c r="AL85" s="16"/>
      <c r="AM85" s="37">
        <v>6.3333333333333339E-2</v>
      </c>
      <c r="AN85" s="2">
        <f t="shared" si="142"/>
        <v>-1076400000</v>
      </c>
      <c r="AO85" s="2">
        <f t="shared" si="143"/>
        <v>-1038316738.3735274</v>
      </c>
      <c r="AP85" s="2">
        <f t="shared" si="144"/>
        <v>-1000389529.0927755</v>
      </c>
      <c r="AQ85" s="2">
        <f t="shared" si="145"/>
        <v>-962772676.4079268</v>
      </c>
      <c r="AR85" s="2">
        <f t="shared" si="146"/>
        <v>-925617009.21052825</v>
      </c>
      <c r="AS85" s="2">
        <f t="shared" si="147"/>
        <v>-889068195.13324463</v>
      </c>
      <c r="AT85" s="2">
        <f t="shared" si="148"/>
        <v>-853265115.94538629</v>
      </c>
      <c r="AU85" s="2">
        <f t="shared" si="149"/>
        <v>-818338323.29710054</v>
      </c>
      <c r="AV85" s="2">
        <f t="shared" si="150"/>
        <v>-784408592.72140265</v>
      </c>
      <c r="AW85" s="2">
        <f t="shared" si="151"/>
        <v>-751585592.41994739</v>
      </c>
      <c r="AX85" s="2">
        <f t="shared" si="152"/>
        <v>-719966681.76432347</v>
      </c>
      <c r="AY85" s="2">
        <f t="shared" si="153"/>
        <v>-689635852.67194116</v>
      </c>
      <c r="AZ85" s="2">
        <f t="shared" si="154"/>
        <v>-660662825.0991621</v>
      </c>
      <c r="BA85" s="2">
        <f t="shared" si="155"/>
        <v>-633102305.87062478</v>
      </c>
      <c r="BB85" s="2">
        <f t="shared" si="156"/>
        <v>-606993417.96955097</v>
      </c>
      <c r="BC85" s="2">
        <f t="shared" si="157"/>
        <v>-582359305.28550172</v>
      </c>
      <c r="BD85" s="2">
        <f t="shared" si="158"/>
        <v>-559206915.68819892</v>
      </c>
      <c r="BE85" s="2">
        <f t="shared" si="159"/>
        <v>-537526963.20091677</v>
      </c>
      <c r="BF85" s="2">
        <f t="shared" si="160"/>
        <v>-517294068.0135839</v>
      </c>
      <c r="BG85" s="2">
        <f t="shared" si="161"/>
        <v>-498467071.12941539</v>
      </c>
      <c r="BH85" s="2">
        <f t="shared" si="162"/>
        <v>-480989518.60071933</v>
      </c>
      <c r="BI85" s="2">
        <f t="shared" si="163"/>
        <v>-464790308.59624881</v>
      </c>
      <c r="BJ85" s="2">
        <f t="shared" si="164"/>
        <v>-449784492.96644378</v>
      </c>
      <c r="BK85" s="2">
        <f t="shared" si="165"/>
        <v>-435874223.54223323</v>
      </c>
      <c r="BL85" s="2">
        <f t="shared" si="166"/>
        <v>-422949832.12194669</v>
      </c>
      <c r="BM85" s="2">
        <f t="shared" si="167"/>
        <v>-410891031.97002202</v>
      </c>
      <c r="BN85" s="2">
        <f t="shared" si="168"/>
        <v>-399568227.66844082</v>
      </c>
      <c r="BO85" s="2">
        <f t="shared" si="169"/>
        <v>-388843919.32276756</v>
      </c>
      <c r="BP85" s="2">
        <f t="shared" si="170"/>
        <v>-378574186.42339474</v>
      </c>
      <c r="BQ85" s="2">
        <f t="shared" si="171"/>
        <v>-368610236.09235442</v>
      </c>
      <c r="BR85" s="2">
        <f t="shared" si="172"/>
        <v>-358800000</v>
      </c>
      <c r="BT85" s="16"/>
      <c r="BU85" s="37">
        <v>6.3333333333333339E-2</v>
      </c>
      <c r="BV85" s="2">
        <f t="shared" si="173"/>
        <v>0.40647187995004358</v>
      </c>
      <c r="BW85" s="2">
        <f t="shared" si="174"/>
        <v>0.40647187995004358</v>
      </c>
      <c r="BX85" s="2">
        <f t="shared" si="175"/>
        <v>0.40647187995004358</v>
      </c>
      <c r="BY85" s="2">
        <f t="shared" si="176"/>
        <v>0.40647187995004358</v>
      </c>
      <c r="BZ85" s="2">
        <f t="shared" si="177"/>
        <v>0.40647187995004358</v>
      </c>
      <c r="CA85" s="2">
        <f t="shared" si="178"/>
        <v>0.40647187995004358</v>
      </c>
      <c r="CB85" s="2">
        <f t="shared" si="179"/>
        <v>0.40647187995004358</v>
      </c>
      <c r="CC85" s="2">
        <f t="shared" si="180"/>
        <v>0.40647187995004358</v>
      </c>
      <c r="CD85" s="2">
        <f t="shared" si="181"/>
        <v>0.40647187995004358</v>
      </c>
      <c r="CE85" s="2">
        <f t="shared" si="182"/>
        <v>0.40647187995004358</v>
      </c>
      <c r="CF85" s="2">
        <f t="shared" si="183"/>
        <v>0.40647187995004358</v>
      </c>
      <c r="CG85" s="2">
        <f t="shared" si="184"/>
        <v>0.40647187995004358</v>
      </c>
      <c r="CH85" s="2">
        <f t="shared" si="185"/>
        <v>0.40647187995004358</v>
      </c>
      <c r="CI85" s="2">
        <f t="shared" si="186"/>
        <v>0.40647187995004358</v>
      </c>
      <c r="CJ85" s="2">
        <f t="shared" si="187"/>
        <v>0.40647187995004358</v>
      </c>
      <c r="CK85" s="2">
        <f t="shared" si="188"/>
        <v>0.40647187995004358</v>
      </c>
      <c r="CL85" s="2">
        <f t="shared" si="189"/>
        <v>0.40647187995004358</v>
      </c>
      <c r="CM85" s="2">
        <f t="shared" si="190"/>
        <v>0.40647187995004358</v>
      </c>
      <c r="CN85" s="2">
        <f t="shared" si="191"/>
        <v>0.40647187995004358</v>
      </c>
      <c r="CO85" s="2">
        <f t="shared" si="192"/>
        <v>0.40647187995004358</v>
      </c>
      <c r="CP85" s="2">
        <f t="shared" si="193"/>
        <v>0.40647187995004358</v>
      </c>
      <c r="CQ85" s="2">
        <f t="shared" si="194"/>
        <v>0.40647187995004358</v>
      </c>
      <c r="CR85" s="2">
        <f t="shared" si="195"/>
        <v>0.40647187995004358</v>
      </c>
      <c r="CS85" s="2">
        <f t="shared" si="196"/>
        <v>0.40647187995004358</v>
      </c>
      <c r="CT85" s="2">
        <f t="shared" si="197"/>
        <v>0.40647187995004358</v>
      </c>
      <c r="CU85" s="2">
        <f t="shared" si="198"/>
        <v>0.40647187995004358</v>
      </c>
      <c r="CV85" s="2">
        <f t="shared" si="199"/>
        <v>0.40647187995004358</v>
      </c>
      <c r="CW85" s="2">
        <f t="shared" si="200"/>
        <v>0.40647187995004358</v>
      </c>
      <c r="CX85" s="2">
        <f t="shared" si="201"/>
        <v>0.40647187995004358</v>
      </c>
      <c r="CY85" s="2">
        <f t="shared" si="202"/>
        <v>0.40647187995004358</v>
      </c>
      <c r="CZ85" s="2">
        <f t="shared" si="203"/>
        <v>0.40647187995004358</v>
      </c>
      <c r="DB85" s="16"/>
      <c r="DC85" s="37">
        <v>6.3333333333333339E-2</v>
      </c>
      <c r="DD85" s="2">
        <f t="shared" si="204"/>
        <v>178.05843601498691</v>
      </c>
      <c r="DE85" s="2">
        <f t="shared" si="205"/>
        <v>171.75869056389135</v>
      </c>
      <c r="DF85" s="2">
        <f t="shared" si="206"/>
        <v>165.48475934227875</v>
      </c>
      <c r="DG85" s="2">
        <f t="shared" si="207"/>
        <v>159.26216740910309</v>
      </c>
      <c r="DH85" s="2">
        <f t="shared" si="208"/>
        <v>153.11586492836898</v>
      </c>
      <c r="DI85" s="2">
        <f t="shared" si="209"/>
        <v>147.06994828696838</v>
      </c>
      <c r="DJ85" s="2">
        <f t="shared" si="210"/>
        <v>141.14739135208285</v>
      </c>
      <c r="DK85" s="2">
        <f t="shared" si="211"/>
        <v>135.36979001988897</v>
      </c>
      <c r="DL85" s="2">
        <f t="shared" si="212"/>
        <v>129.75712301810645</v>
      </c>
      <c r="DM85" s="2">
        <f t="shared" si="213"/>
        <v>124.32753169611043</v>
      </c>
      <c r="DN85" s="2">
        <f t="shared" si="214"/>
        <v>119.09712127262657</v>
      </c>
      <c r="DO85" s="2">
        <f t="shared" si="215"/>
        <v>114.07978571778872</v>
      </c>
      <c r="DP85" s="2">
        <f t="shared" si="216"/>
        <v>109.28705812931963</v>
      </c>
      <c r="DQ85" s="2">
        <f t="shared" si="217"/>
        <v>104.72798812783846</v>
      </c>
      <c r="DR85" s="2">
        <f t="shared" si="218"/>
        <v>100.40904744987877</v>
      </c>
      <c r="DS85" s="2">
        <f t="shared" si="219"/>
        <v>96.334064565134454</v>
      </c>
      <c r="DT85" s="2">
        <f t="shared" si="220"/>
        <v>92.504188792461321</v>
      </c>
      <c r="DU85" s="2">
        <f t="shared" si="221"/>
        <v>88.917884042587019</v>
      </c>
      <c r="DV85" s="2">
        <f t="shared" si="222"/>
        <v>85.570951979123961</v>
      </c>
      <c r="DW85" s="2">
        <f t="shared" si="223"/>
        <v>82.456584067516687</v>
      </c>
      <c r="DX85" s="2">
        <f t="shared" si="224"/>
        <v>79.565441677485637</v>
      </c>
      <c r="DY85" s="2">
        <f t="shared" si="225"/>
        <v>76.885763121117805</v>
      </c>
      <c r="DZ85" s="2">
        <f t="shared" si="226"/>
        <v>74.403496248048</v>
      </c>
      <c r="EA85" s="2">
        <f t="shared" si="227"/>
        <v>72.102454982512853</v>
      </c>
      <c r="EB85" s="2">
        <f t="shared" si="228"/>
        <v>69.964497975134805</v>
      </c>
      <c r="EC85" s="2">
        <f t="shared" si="229"/>
        <v>67.96972735522678</v>
      </c>
      <c r="ED85" s="2">
        <f t="shared" si="230"/>
        <v>66.096705406840201</v>
      </c>
      <c r="EE85" s="2">
        <f t="shared" si="231"/>
        <v>64.322686852981931</v>
      </c>
      <c r="EF85" s="2">
        <f t="shared" si="232"/>
        <v>62.623864316421184</v>
      </c>
      <c r="EG85" s="2">
        <f t="shared" si="233"/>
        <v>60.975624431177735</v>
      </c>
      <c r="EH85" s="2">
        <f t="shared" si="234"/>
        <v>59.352812004995634</v>
      </c>
    </row>
    <row r="86" spans="5:138">
      <c r="E86" s="18"/>
      <c r="F86" s="37">
        <v>6.0000000000000005E-2</v>
      </c>
      <c r="G86" s="2">
        <f t="shared" si="139"/>
        <v>300</v>
      </c>
      <c r="H86" s="2">
        <f t="shared" si="235"/>
        <v>289.38593600154047</v>
      </c>
      <c r="I86" s="2">
        <f t="shared" si="236"/>
        <v>278.8153648530589</v>
      </c>
      <c r="J86" s="2">
        <f t="shared" si="237"/>
        <v>268.33129219841885</v>
      </c>
      <c r="K86" s="2">
        <f t="shared" si="238"/>
        <v>257.97575507539807</v>
      </c>
      <c r="L86" s="2">
        <f t="shared" si="239"/>
        <v>247.78935204382518</v>
      </c>
      <c r="M86" s="2">
        <f t="shared" si="240"/>
        <v>237.81079039726487</v>
      </c>
      <c r="N86" s="2">
        <f t="shared" si="241"/>
        <v>228.07645576842273</v>
      </c>
      <c r="O86" s="2">
        <f t="shared" si="242"/>
        <v>218.62000911967743</v>
      </c>
      <c r="P86" s="2">
        <f t="shared" si="243"/>
        <v>209.47201572462308</v>
      </c>
      <c r="Q86" s="2">
        <f t="shared" si="244"/>
        <v>200.65961030220834</v>
      </c>
      <c r="R86" s="2">
        <f t="shared" si="245"/>
        <v>192.20620197099811</v>
      </c>
      <c r="S86" s="2">
        <f t="shared" si="246"/>
        <v>184.13122215695711</v>
      </c>
      <c r="T86" s="2">
        <f t="shared" si="247"/>
        <v>176.4499180241429</v>
      </c>
      <c r="U86" s="2">
        <f t="shared" si="248"/>
        <v>169.17319341403316</v>
      </c>
      <c r="V86" s="2">
        <f t="shared" si="249"/>
        <v>162.30749868603726</v>
      </c>
      <c r="W86" s="2">
        <f t="shared" si="250"/>
        <v>155.85477025869537</v>
      </c>
      <c r="X86" s="2">
        <f t="shared" si="251"/>
        <v>149.81242006714515</v>
      </c>
      <c r="Y86" s="2">
        <f t="shared" si="252"/>
        <v>144.17337458572575</v>
      </c>
      <c r="Z86" s="2">
        <f t="shared" si="253"/>
        <v>138.92616252213367</v>
      </c>
      <c r="AA86" s="2">
        <f t="shared" si="254"/>
        <v>134.05504977723507</v>
      </c>
      <c r="AB86" s="2">
        <f t="shared" si="255"/>
        <v>129.5402197871374</v>
      </c>
      <c r="AC86" s="2">
        <f t="shared" si="256"/>
        <v>125.35799692487288</v>
      </c>
      <c r="AD86" s="2">
        <f t="shared" si="257"/>
        <v>121.48111024031027</v>
      </c>
      <c r="AE86" s="2">
        <f t="shared" si="258"/>
        <v>117.87899445985137</v>
      </c>
      <c r="AF86" s="2">
        <f t="shared" si="259"/>
        <v>114.51812485229155</v>
      </c>
      <c r="AG86" s="2">
        <f t="shared" si="260"/>
        <v>111.36238229332244</v>
      </c>
      <c r="AH86" s="2">
        <f t="shared" si="261"/>
        <v>108.37344462730425</v>
      </c>
      <c r="AI86" s="2">
        <f t="shared" si="262"/>
        <v>105.51120022948572</v>
      </c>
      <c r="AJ86" s="2">
        <f t="shared" si="263"/>
        <v>102.7341795129193</v>
      </c>
      <c r="AK86" s="2">
        <f t="shared" si="141"/>
        <v>100</v>
      </c>
      <c r="AL86" s="16"/>
      <c r="AM86" s="37">
        <v>6.0000000000000005E-2</v>
      </c>
      <c r="AN86" s="2">
        <f t="shared" si="142"/>
        <v>-1076400000</v>
      </c>
      <c r="AO86" s="2">
        <f t="shared" si="143"/>
        <v>-1038316738.3735274</v>
      </c>
      <c r="AP86" s="2">
        <f t="shared" si="144"/>
        <v>-1000389529.0927755</v>
      </c>
      <c r="AQ86" s="2">
        <f t="shared" si="145"/>
        <v>-962772676.4079268</v>
      </c>
      <c r="AR86" s="2">
        <f t="shared" si="146"/>
        <v>-925617009.21052825</v>
      </c>
      <c r="AS86" s="2">
        <f t="shared" si="147"/>
        <v>-889068195.13324463</v>
      </c>
      <c r="AT86" s="2">
        <f t="shared" si="148"/>
        <v>-853265115.94538629</v>
      </c>
      <c r="AU86" s="2">
        <f t="shared" si="149"/>
        <v>-818338323.29710054</v>
      </c>
      <c r="AV86" s="2">
        <f t="shared" si="150"/>
        <v>-784408592.72140265</v>
      </c>
      <c r="AW86" s="2">
        <f t="shared" si="151"/>
        <v>-751585592.41994739</v>
      </c>
      <c r="AX86" s="2">
        <f t="shared" si="152"/>
        <v>-719966681.76432347</v>
      </c>
      <c r="AY86" s="2">
        <f t="shared" si="153"/>
        <v>-689635852.67194116</v>
      </c>
      <c r="AZ86" s="2">
        <f t="shared" si="154"/>
        <v>-660662825.0991621</v>
      </c>
      <c r="BA86" s="2">
        <f t="shared" si="155"/>
        <v>-633102305.87062478</v>
      </c>
      <c r="BB86" s="2">
        <f t="shared" si="156"/>
        <v>-606993417.96955097</v>
      </c>
      <c r="BC86" s="2">
        <f t="shared" si="157"/>
        <v>-582359305.2855016</v>
      </c>
      <c r="BD86" s="2">
        <f t="shared" si="158"/>
        <v>-559206915.68819892</v>
      </c>
      <c r="BE86" s="2">
        <f t="shared" si="159"/>
        <v>-537526963.20091677</v>
      </c>
      <c r="BF86" s="2">
        <f t="shared" si="160"/>
        <v>-517294068.01358402</v>
      </c>
      <c r="BG86" s="2">
        <f t="shared" si="161"/>
        <v>-498467071.12941557</v>
      </c>
      <c r="BH86" s="2">
        <f t="shared" si="162"/>
        <v>-480989518.60071945</v>
      </c>
      <c r="BI86" s="2">
        <f t="shared" si="163"/>
        <v>-464790308.59624898</v>
      </c>
      <c r="BJ86" s="2">
        <f t="shared" si="164"/>
        <v>-449784492.96644396</v>
      </c>
      <c r="BK86" s="2">
        <f t="shared" si="165"/>
        <v>-435874223.54223329</v>
      </c>
      <c r="BL86" s="2">
        <f t="shared" si="166"/>
        <v>-422949832.12194669</v>
      </c>
      <c r="BM86" s="2">
        <f t="shared" si="167"/>
        <v>-410891031.97002208</v>
      </c>
      <c r="BN86" s="2">
        <f t="shared" si="168"/>
        <v>-399568227.66844088</v>
      </c>
      <c r="BO86" s="2">
        <f t="shared" si="169"/>
        <v>-388843919.32276756</v>
      </c>
      <c r="BP86" s="2">
        <f t="shared" si="170"/>
        <v>-378574186.42339474</v>
      </c>
      <c r="BQ86" s="2">
        <f t="shared" si="171"/>
        <v>-368610236.09235442</v>
      </c>
      <c r="BR86" s="2">
        <f t="shared" si="172"/>
        <v>-358800000</v>
      </c>
      <c r="BT86" s="16"/>
      <c r="BU86" s="37">
        <v>6.0000000000000005E-2</v>
      </c>
      <c r="BV86" s="2">
        <f t="shared" si="173"/>
        <v>0.40647187995004946</v>
      </c>
      <c r="BW86" s="2">
        <f t="shared" si="174"/>
        <v>0.40647187995004946</v>
      </c>
      <c r="BX86" s="2">
        <f t="shared" si="175"/>
        <v>0.40647187995004946</v>
      </c>
      <c r="BY86" s="2">
        <f t="shared" si="176"/>
        <v>0.40647187995004946</v>
      </c>
      <c r="BZ86" s="2">
        <f t="shared" si="177"/>
        <v>0.40647187995004946</v>
      </c>
      <c r="CA86" s="2">
        <f t="shared" si="178"/>
        <v>0.40647187995004946</v>
      </c>
      <c r="CB86" s="2">
        <f t="shared" si="179"/>
        <v>0.40647187995004946</v>
      </c>
      <c r="CC86" s="2">
        <f t="shared" si="180"/>
        <v>0.40647187995004946</v>
      </c>
      <c r="CD86" s="2">
        <f t="shared" si="181"/>
        <v>0.40647187995004946</v>
      </c>
      <c r="CE86" s="2">
        <f t="shared" si="182"/>
        <v>0.40647187995004946</v>
      </c>
      <c r="CF86" s="2">
        <f t="shared" si="183"/>
        <v>0.40647187995004946</v>
      </c>
      <c r="CG86" s="2">
        <f t="shared" si="184"/>
        <v>0.40647187995004946</v>
      </c>
      <c r="CH86" s="2">
        <f t="shared" si="185"/>
        <v>0.40647187995004946</v>
      </c>
      <c r="CI86" s="2">
        <f t="shared" si="186"/>
        <v>0.40647187995004946</v>
      </c>
      <c r="CJ86" s="2">
        <f t="shared" si="187"/>
        <v>0.40647187995004946</v>
      </c>
      <c r="CK86" s="2">
        <f t="shared" si="188"/>
        <v>0.40647187995004946</v>
      </c>
      <c r="CL86" s="2">
        <f t="shared" si="189"/>
        <v>0.40647187995004946</v>
      </c>
      <c r="CM86" s="2">
        <f t="shared" si="190"/>
        <v>0.40647187995004946</v>
      </c>
      <c r="CN86" s="2">
        <f t="shared" si="191"/>
        <v>0.40647187995004946</v>
      </c>
      <c r="CO86" s="2">
        <f t="shared" si="192"/>
        <v>0.40647187995004946</v>
      </c>
      <c r="CP86" s="2">
        <f t="shared" si="193"/>
        <v>0.40647187995004946</v>
      </c>
      <c r="CQ86" s="2">
        <f t="shared" si="194"/>
        <v>0.40647187995004946</v>
      </c>
      <c r="CR86" s="2">
        <f t="shared" si="195"/>
        <v>0.40647187995004946</v>
      </c>
      <c r="CS86" s="2">
        <f t="shared" si="196"/>
        <v>0.40647187995004946</v>
      </c>
      <c r="CT86" s="2">
        <f t="shared" si="197"/>
        <v>0.40647187995004946</v>
      </c>
      <c r="CU86" s="2">
        <f t="shared" si="198"/>
        <v>0.40647187995004946</v>
      </c>
      <c r="CV86" s="2">
        <f t="shared" si="199"/>
        <v>0.40647187995004946</v>
      </c>
      <c r="CW86" s="2">
        <f t="shared" si="200"/>
        <v>0.40647187995004946</v>
      </c>
      <c r="CX86" s="2">
        <f t="shared" si="201"/>
        <v>0.40647187995004946</v>
      </c>
      <c r="CY86" s="2">
        <f t="shared" si="202"/>
        <v>0.40647187995004946</v>
      </c>
      <c r="CZ86" s="2">
        <f t="shared" si="203"/>
        <v>0.40647187995004946</v>
      </c>
      <c r="DB86" s="16"/>
      <c r="DC86" s="37">
        <v>6.0000000000000005E-2</v>
      </c>
      <c r="DD86" s="2">
        <f t="shared" si="204"/>
        <v>178.05843601498518</v>
      </c>
      <c r="DE86" s="2">
        <f t="shared" si="205"/>
        <v>171.75869056388964</v>
      </c>
      <c r="DF86" s="2">
        <f t="shared" si="206"/>
        <v>165.4847593422771</v>
      </c>
      <c r="DG86" s="2">
        <f t="shared" si="207"/>
        <v>159.26216740910149</v>
      </c>
      <c r="DH86" s="2">
        <f t="shared" si="208"/>
        <v>153.1158649283675</v>
      </c>
      <c r="DI86" s="2">
        <f t="shared" si="209"/>
        <v>147.06994828696693</v>
      </c>
      <c r="DJ86" s="2">
        <f t="shared" si="210"/>
        <v>141.14739135208146</v>
      </c>
      <c r="DK86" s="2">
        <f t="shared" si="211"/>
        <v>135.36979001988766</v>
      </c>
      <c r="DL86" s="2">
        <f t="shared" si="212"/>
        <v>129.7571230181052</v>
      </c>
      <c r="DM86" s="2">
        <f t="shared" si="213"/>
        <v>124.3275316961092</v>
      </c>
      <c r="DN86" s="2">
        <f t="shared" si="214"/>
        <v>119.09712127262542</v>
      </c>
      <c r="DO86" s="2">
        <f t="shared" si="215"/>
        <v>114.0797857177876</v>
      </c>
      <c r="DP86" s="2">
        <f t="shared" si="216"/>
        <v>109.28705812931855</v>
      </c>
      <c r="DQ86" s="2">
        <f t="shared" si="217"/>
        <v>104.72798812783743</v>
      </c>
      <c r="DR86" s="2">
        <f t="shared" si="218"/>
        <v>100.40904744987778</v>
      </c>
      <c r="DS86" s="2">
        <f t="shared" si="219"/>
        <v>96.334064565133502</v>
      </c>
      <c r="DT86" s="2">
        <f t="shared" si="220"/>
        <v>92.504188792460411</v>
      </c>
      <c r="DU86" s="2">
        <f t="shared" si="221"/>
        <v>88.917884042586152</v>
      </c>
      <c r="DV86" s="2">
        <f t="shared" si="222"/>
        <v>85.570951979123137</v>
      </c>
      <c r="DW86" s="2">
        <f t="shared" si="223"/>
        <v>82.456584067515891</v>
      </c>
      <c r="DX86" s="2">
        <f t="shared" si="224"/>
        <v>79.565441677484884</v>
      </c>
      <c r="DY86" s="2">
        <f t="shared" si="225"/>
        <v>76.88576312111708</v>
      </c>
      <c r="DZ86" s="2">
        <f t="shared" si="226"/>
        <v>74.40349624804729</v>
      </c>
      <c r="EA86" s="2">
        <f t="shared" si="227"/>
        <v>72.102454982512157</v>
      </c>
      <c r="EB86" s="2">
        <f t="shared" si="228"/>
        <v>69.964497975134122</v>
      </c>
      <c r="EC86" s="2">
        <f t="shared" si="229"/>
        <v>67.969727355226127</v>
      </c>
      <c r="ED86" s="2">
        <f t="shared" si="230"/>
        <v>66.096705406839575</v>
      </c>
      <c r="EE86" s="2">
        <f t="shared" si="231"/>
        <v>64.322686852981306</v>
      </c>
      <c r="EF86" s="2">
        <f t="shared" si="232"/>
        <v>62.62386431642058</v>
      </c>
      <c r="EG86" s="2">
        <f t="shared" si="233"/>
        <v>60.975624431177124</v>
      </c>
      <c r="EH86" s="2">
        <f t="shared" si="234"/>
        <v>59.352812004995052</v>
      </c>
    </row>
    <row r="87" spans="5:138">
      <c r="E87" s="18"/>
      <c r="F87" s="37">
        <v>5.6666666666666671E-2</v>
      </c>
      <c r="G87" s="2">
        <f t="shared" si="139"/>
        <v>300</v>
      </c>
      <c r="H87" s="2">
        <f t="shared" si="235"/>
        <v>289.38593600154053</v>
      </c>
      <c r="I87" s="2">
        <f t="shared" si="236"/>
        <v>278.81536485305895</v>
      </c>
      <c r="J87" s="2">
        <f t="shared" si="237"/>
        <v>268.33129219841885</v>
      </c>
      <c r="K87" s="2">
        <f t="shared" si="238"/>
        <v>257.97575507539813</v>
      </c>
      <c r="L87" s="2">
        <f t="shared" si="239"/>
        <v>247.78935204382523</v>
      </c>
      <c r="M87" s="2">
        <f t="shared" si="240"/>
        <v>237.8107903972649</v>
      </c>
      <c r="N87" s="2">
        <f t="shared" si="241"/>
        <v>228.07645576842276</v>
      </c>
      <c r="O87" s="2">
        <f t="shared" si="242"/>
        <v>218.62000911967752</v>
      </c>
      <c r="P87" s="2">
        <f t="shared" si="243"/>
        <v>209.47201572462308</v>
      </c>
      <c r="Q87" s="2">
        <f t="shared" si="244"/>
        <v>200.65961030220842</v>
      </c>
      <c r="R87" s="2">
        <f t="shared" si="245"/>
        <v>192.20620197099811</v>
      </c>
      <c r="S87" s="2">
        <f t="shared" si="246"/>
        <v>184.13122215695714</v>
      </c>
      <c r="T87" s="2">
        <f t="shared" si="247"/>
        <v>176.44991802414293</v>
      </c>
      <c r="U87" s="2">
        <f t="shared" si="248"/>
        <v>169.17319341403319</v>
      </c>
      <c r="V87" s="2">
        <f t="shared" si="249"/>
        <v>162.30749868603729</v>
      </c>
      <c r="W87" s="2">
        <f t="shared" si="250"/>
        <v>155.8547702586954</v>
      </c>
      <c r="X87" s="2">
        <f t="shared" si="251"/>
        <v>149.81242006714518</v>
      </c>
      <c r="Y87" s="2">
        <f t="shared" si="252"/>
        <v>144.17337458572578</v>
      </c>
      <c r="Z87" s="2">
        <f t="shared" si="253"/>
        <v>138.92616252213369</v>
      </c>
      <c r="AA87" s="2">
        <f t="shared" si="254"/>
        <v>134.05504977723513</v>
      </c>
      <c r="AB87" s="2">
        <f t="shared" si="255"/>
        <v>129.54021978713746</v>
      </c>
      <c r="AC87" s="2">
        <f t="shared" si="256"/>
        <v>125.35799692487291</v>
      </c>
      <c r="AD87" s="2">
        <f t="shared" si="257"/>
        <v>121.4811102403103</v>
      </c>
      <c r="AE87" s="2">
        <f t="shared" si="258"/>
        <v>117.87899445985138</v>
      </c>
      <c r="AF87" s="2">
        <f t="shared" si="259"/>
        <v>114.51812485229158</v>
      </c>
      <c r="AG87" s="2">
        <f t="shared" si="260"/>
        <v>111.36238229332245</v>
      </c>
      <c r="AH87" s="2">
        <f t="shared" si="261"/>
        <v>108.37344462730427</v>
      </c>
      <c r="AI87" s="2">
        <f t="shared" si="262"/>
        <v>105.51120022948575</v>
      </c>
      <c r="AJ87" s="2">
        <f t="shared" si="263"/>
        <v>102.7341795129193</v>
      </c>
      <c r="AK87" s="2">
        <f t="shared" si="141"/>
        <v>100</v>
      </c>
      <c r="AL87" s="16"/>
      <c r="AM87" s="37">
        <v>5.6666666666666671E-2</v>
      </c>
      <c r="AN87" s="2">
        <f t="shared" si="142"/>
        <v>-1076400000</v>
      </c>
      <c r="AO87" s="2">
        <f t="shared" si="143"/>
        <v>-1038316738.3735274</v>
      </c>
      <c r="AP87" s="2">
        <f t="shared" si="144"/>
        <v>-1000389529.0927755</v>
      </c>
      <c r="AQ87" s="2">
        <f t="shared" si="145"/>
        <v>-962772676.4079268</v>
      </c>
      <c r="AR87" s="2">
        <f t="shared" si="146"/>
        <v>-925617009.21052825</v>
      </c>
      <c r="AS87" s="2">
        <f t="shared" si="147"/>
        <v>-889068195.13324499</v>
      </c>
      <c r="AT87" s="2">
        <f t="shared" si="148"/>
        <v>-853265115.94538641</v>
      </c>
      <c r="AU87" s="2">
        <f t="shared" si="149"/>
        <v>-818338323.2971009</v>
      </c>
      <c r="AV87" s="2">
        <f t="shared" si="150"/>
        <v>-784408592.721403</v>
      </c>
      <c r="AW87" s="2">
        <f t="shared" si="151"/>
        <v>-751585592.41994762</v>
      </c>
      <c r="AX87" s="2">
        <f t="shared" si="152"/>
        <v>-719966681.76432371</v>
      </c>
      <c r="AY87" s="2">
        <f t="shared" si="153"/>
        <v>-689635852.67194116</v>
      </c>
      <c r="AZ87" s="2">
        <f t="shared" si="154"/>
        <v>-660662825.0991621</v>
      </c>
      <c r="BA87" s="2">
        <f t="shared" si="155"/>
        <v>-633102305.87062478</v>
      </c>
      <c r="BB87" s="2">
        <f t="shared" si="156"/>
        <v>-606993417.96955097</v>
      </c>
      <c r="BC87" s="2">
        <f t="shared" si="157"/>
        <v>-582359305.28550172</v>
      </c>
      <c r="BD87" s="2">
        <f t="shared" si="158"/>
        <v>-559206915.68819892</v>
      </c>
      <c r="BE87" s="2">
        <f t="shared" si="159"/>
        <v>-537526963.20091689</v>
      </c>
      <c r="BF87" s="2">
        <f t="shared" si="160"/>
        <v>-517294068.0135842</v>
      </c>
      <c r="BG87" s="2">
        <f t="shared" si="161"/>
        <v>-498467071.12941569</v>
      </c>
      <c r="BH87" s="2">
        <f t="shared" si="162"/>
        <v>-480989518.60071963</v>
      </c>
      <c r="BI87" s="2">
        <f t="shared" si="163"/>
        <v>-464790308.5962491</v>
      </c>
      <c r="BJ87" s="2">
        <f t="shared" si="164"/>
        <v>-449784492.96644402</v>
      </c>
      <c r="BK87" s="2">
        <f t="shared" si="165"/>
        <v>-435874223.54223341</v>
      </c>
      <c r="BL87" s="2">
        <f t="shared" si="166"/>
        <v>-422949832.12194675</v>
      </c>
      <c r="BM87" s="2">
        <f t="shared" si="167"/>
        <v>-410891031.97002214</v>
      </c>
      <c r="BN87" s="2">
        <f t="shared" si="168"/>
        <v>-399568227.66844094</v>
      </c>
      <c r="BO87" s="2">
        <f t="shared" si="169"/>
        <v>-388843919.32276762</v>
      </c>
      <c r="BP87" s="2">
        <f t="shared" si="170"/>
        <v>-378574186.4233948</v>
      </c>
      <c r="BQ87" s="2">
        <f t="shared" si="171"/>
        <v>-368610236.09235442</v>
      </c>
      <c r="BR87" s="2">
        <f t="shared" si="172"/>
        <v>-358800000</v>
      </c>
      <c r="BT87" s="16"/>
      <c r="BU87" s="37">
        <v>5.6666666666666671E-2</v>
      </c>
      <c r="BV87" s="2">
        <f t="shared" si="173"/>
        <v>0.40647187995008499</v>
      </c>
      <c r="BW87" s="2">
        <f t="shared" si="174"/>
        <v>0.40647187995008499</v>
      </c>
      <c r="BX87" s="2">
        <f t="shared" si="175"/>
        <v>0.40647187995008499</v>
      </c>
      <c r="BY87" s="2">
        <f t="shared" si="176"/>
        <v>0.40647187995008499</v>
      </c>
      <c r="BZ87" s="2">
        <f t="shared" si="177"/>
        <v>0.40647187995008499</v>
      </c>
      <c r="CA87" s="2">
        <f t="shared" si="178"/>
        <v>0.40647187995008499</v>
      </c>
      <c r="CB87" s="2">
        <f t="shared" si="179"/>
        <v>0.40647187995008499</v>
      </c>
      <c r="CC87" s="2">
        <f t="shared" si="180"/>
        <v>0.40647187995008499</v>
      </c>
      <c r="CD87" s="2">
        <f t="shared" si="181"/>
        <v>0.40647187995008499</v>
      </c>
      <c r="CE87" s="2">
        <f t="shared" si="182"/>
        <v>0.40647187995008499</v>
      </c>
      <c r="CF87" s="2">
        <f t="shared" si="183"/>
        <v>0.40647187995008499</v>
      </c>
      <c r="CG87" s="2">
        <f t="shared" si="184"/>
        <v>0.40647187995008499</v>
      </c>
      <c r="CH87" s="2">
        <f t="shared" si="185"/>
        <v>0.40647187995008499</v>
      </c>
      <c r="CI87" s="2">
        <f t="shared" si="186"/>
        <v>0.40647187995008499</v>
      </c>
      <c r="CJ87" s="2">
        <f t="shared" si="187"/>
        <v>0.40647187995008499</v>
      </c>
      <c r="CK87" s="2">
        <f t="shared" si="188"/>
        <v>0.40647187995008499</v>
      </c>
      <c r="CL87" s="2">
        <f t="shared" si="189"/>
        <v>0.40647187995008499</v>
      </c>
      <c r="CM87" s="2">
        <f t="shared" si="190"/>
        <v>0.40647187995008499</v>
      </c>
      <c r="CN87" s="2">
        <f t="shared" si="191"/>
        <v>0.40647187995008499</v>
      </c>
      <c r="CO87" s="2">
        <f t="shared" si="192"/>
        <v>0.40647187995008499</v>
      </c>
      <c r="CP87" s="2">
        <f t="shared" si="193"/>
        <v>0.40647187995008499</v>
      </c>
      <c r="CQ87" s="2">
        <f t="shared" si="194"/>
        <v>0.40647187995008499</v>
      </c>
      <c r="CR87" s="2">
        <f t="shared" si="195"/>
        <v>0.40647187995008499</v>
      </c>
      <c r="CS87" s="2">
        <f t="shared" si="196"/>
        <v>0.40647187995008499</v>
      </c>
      <c r="CT87" s="2">
        <f t="shared" si="197"/>
        <v>0.40647187995008499</v>
      </c>
      <c r="CU87" s="2">
        <f t="shared" si="198"/>
        <v>0.40647187995008499</v>
      </c>
      <c r="CV87" s="2">
        <f t="shared" si="199"/>
        <v>0.40647187995008499</v>
      </c>
      <c r="CW87" s="2">
        <f t="shared" si="200"/>
        <v>0.40647187995008499</v>
      </c>
      <c r="CX87" s="2">
        <f t="shared" si="201"/>
        <v>0.40647187995008499</v>
      </c>
      <c r="CY87" s="2">
        <f t="shared" si="202"/>
        <v>0.40647187995008499</v>
      </c>
      <c r="CZ87" s="2">
        <f t="shared" si="203"/>
        <v>0.40647187995008499</v>
      </c>
      <c r="DB87" s="16"/>
      <c r="DC87" s="37">
        <v>5.6666666666666671E-2</v>
      </c>
      <c r="DD87" s="2">
        <f t="shared" si="204"/>
        <v>178.05843601497452</v>
      </c>
      <c r="DE87" s="2">
        <f t="shared" si="205"/>
        <v>171.75869056387938</v>
      </c>
      <c r="DF87" s="2">
        <f t="shared" si="206"/>
        <v>165.48475934226724</v>
      </c>
      <c r="DG87" s="2">
        <f t="shared" si="207"/>
        <v>159.262167409092</v>
      </c>
      <c r="DH87" s="2">
        <f t="shared" si="208"/>
        <v>153.11586492835838</v>
      </c>
      <c r="DI87" s="2">
        <f t="shared" si="209"/>
        <v>147.06994828695818</v>
      </c>
      <c r="DJ87" s="2">
        <f t="shared" si="210"/>
        <v>141.14739135207304</v>
      </c>
      <c r="DK87" s="2">
        <f t="shared" si="211"/>
        <v>135.36979001987959</v>
      </c>
      <c r="DL87" s="2">
        <f t="shared" si="212"/>
        <v>129.7571230180975</v>
      </c>
      <c r="DM87" s="2">
        <f t="shared" si="213"/>
        <v>124.32753169610179</v>
      </c>
      <c r="DN87" s="2">
        <f t="shared" si="214"/>
        <v>119.09712127261834</v>
      </c>
      <c r="DO87" s="2">
        <f t="shared" si="215"/>
        <v>114.07978571778079</v>
      </c>
      <c r="DP87" s="2">
        <f t="shared" si="216"/>
        <v>109.28705812931204</v>
      </c>
      <c r="DQ87" s="2">
        <f t="shared" si="217"/>
        <v>104.72798812783118</v>
      </c>
      <c r="DR87" s="2">
        <f t="shared" si="218"/>
        <v>100.40904744987179</v>
      </c>
      <c r="DS87" s="2">
        <f t="shared" si="219"/>
        <v>96.334064565127775</v>
      </c>
      <c r="DT87" s="2">
        <f t="shared" si="220"/>
        <v>92.504188792454883</v>
      </c>
      <c r="DU87" s="2">
        <f t="shared" si="221"/>
        <v>88.917884042580852</v>
      </c>
      <c r="DV87" s="2">
        <f t="shared" si="222"/>
        <v>85.570951979118036</v>
      </c>
      <c r="DW87" s="2">
        <f t="shared" si="223"/>
        <v>82.456584067510974</v>
      </c>
      <c r="DX87" s="2">
        <f t="shared" si="224"/>
        <v>79.565441677480152</v>
      </c>
      <c r="DY87" s="2">
        <f t="shared" si="225"/>
        <v>76.885763121112504</v>
      </c>
      <c r="DZ87" s="2">
        <f t="shared" si="226"/>
        <v>74.403496248042856</v>
      </c>
      <c r="EA87" s="2">
        <f t="shared" si="227"/>
        <v>72.102454982507865</v>
      </c>
      <c r="EB87" s="2">
        <f t="shared" si="228"/>
        <v>69.964497975129945</v>
      </c>
      <c r="EC87" s="2">
        <f t="shared" si="229"/>
        <v>67.969727355222076</v>
      </c>
      <c r="ED87" s="2">
        <f t="shared" si="230"/>
        <v>66.096705406835625</v>
      </c>
      <c r="EE87" s="2">
        <f t="shared" si="231"/>
        <v>64.322686852977469</v>
      </c>
      <c r="EF87" s="2">
        <f t="shared" si="232"/>
        <v>62.623864316416842</v>
      </c>
      <c r="EG87" s="2">
        <f t="shared" si="233"/>
        <v>60.975624431173479</v>
      </c>
      <c r="EH87" s="2">
        <f t="shared" si="234"/>
        <v>59.352812004991506</v>
      </c>
    </row>
    <row r="88" spans="5:138">
      <c r="E88" s="18"/>
      <c r="F88" s="37">
        <v>5.3333333333333337E-2</v>
      </c>
      <c r="G88" s="2">
        <f t="shared" si="139"/>
        <v>300</v>
      </c>
      <c r="H88" s="2">
        <f t="shared" si="235"/>
        <v>289.38593600154053</v>
      </c>
      <c r="I88" s="2">
        <f t="shared" si="236"/>
        <v>278.81536485305895</v>
      </c>
      <c r="J88" s="2">
        <f t="shared" si="237"/>
        <v>268.33129219841885</v>
      </c>
      <c r="K88" s="2">
        <f t="shared" si="238"/>
        <v>257.97575507539807</v>
      </c>
      <c r="L88" s="2">
        <f t="shared" si="239"/>
        <v>247.78935204382526</v>
      </c>
      <c r="M88" s="2">
        <f t="shared" si="240"/>
        <v>237.81079039726495</v>
      </c>
      <c r="N88" s="2">
        <f t="shared" si="241"/>
        <v>228.07645576842279</v>
      </c>
      <c r="O88" s="2">
        <f t="shared" si="242"/>
        <v>218.62000911967755</v>
      </c>
      <c r="P88" s="2">
        <f t="shared" si="243"/>
        <v>209.47201572462311</v>
      </c>
      <c r="Q88" s="2">
        <f t="shared" si="244"/>
        <v>200.65961030220845</v>
      </c>
      <c r="R88" s="2">
        <f t="shared" si="245"/>
        <v>192.20620197099817</v>
      </c>
      <c r="S88" s="2">
        <f t="shared" si="246"/>
        <v>184.13122215695716</v>
      </c>
      <c r="T88" s="2">
        <f t="shared" si="247"/>
        <v>176.44991802414296</v>
      </c>
      <c r="U88" s="2">
        <f t="shared" si="248"/>
        <v>169.17319341403322</v>
      </c>
      <c r="V88" s="2">
        <f t="shared" si="249"/>
        <v>162.30749868603732</v>
      </c>
      <c r="W88" s="2">
        <f t="shared" si="250"/>
        <v>155.8547702586954</v>
      </c>
      <c r="X88" s="2">
        <f t="shared" si="251"/>
        <v>149.81242006714521</v>
      </c>
      <c r="Y88" s="2">
        <f t="shared" si="252"/>
        <v>144.17337458572581</v>
      </c>
      <c r="Z88" s="2">
        <f t="shared" si="253"/>
        <v>138.92616252213372</v>
      </c>
      <c r="AA88" s="2">
        <f t="shared" si="254"/>
        <v>134.05504977723513</v>
      </c>
      <c r="AB88" s="2">
        <f t="shared" si="255"/>
        <v>129.54021978713749</v>
      </c>
      <c r="AC88" s="2">
        <f t="shared" si="256"/>
        <v>125.35799692487294</v>
      </c>
      <c r="AD88" s="2">
        <f t="shared" si="257"/>
        <v>121.4811102403103</v>
      </c>
      <c r="AE88" s="2">
        <f t="shared" si="258"/>
        <v>117.87899445985138</v>
      </c>
      <c r="AF88" s="2">
        <f t="shared" si="259"/>
        <v>114.51812485229158</v>
      </c>
      <c r="AG88" s="2">
        <f t="shared" si="260"/>
        <v>111.36238229332245</v>
      </c>
      <c r="AH88" s="2">
        <f t="shared" si="261"/>
        <v>108.37344462730425</v>
      </c>
      <c r="AI88" s="2">
        <f t="shared" si="262"/>
        <v>105.51120022948575</v>
      </c>
      <c r="AJ88" s="2">
        <f t="shared" si="263"/>
        <v>102.7341795129193</v>
      </c>
      <c r="AK88" s="2">
        <f t="shared" si="141"/>
        <v>100</v>
      </c>
      <c r="AL88" s="16"/>
      <c r="AM88" s="37">
        <v>5.3333333333333337E-2</v>
      </c>
      <c r="AN88" s="2">
        <f t="shared" si="142"/>
        <v>-1076400000</v>
      </c>
      <c r="AO88" s="2">
        <f t="shared" si="143"/>
        <v>-1038316738.3735274</v>
      </c>
      <c r="AP88" s="2">
        <f t="shared" si="144"/>
        <v>-1000389529.0927755</v>
      </c>
      <c r="AQ88" s="2">
        <f t="shared" si="145"/>
        <v>-962772676.4079268</v>
      </c>
      <c r="AR88" s="2">
        <f t="shared" si="146"/>
        <v>-925617009.21052825</v>
      </c>
      <c r="AS88" s="2">
        <f t="shared" si="147"/>
        <v>-889068195.13324499</v>
      </c>
      <c r="AT88" s="2">
        <f t="shared" si="148"/>
        <v>-853265115.94538641</v>
      </c>
      <c r="AU88" s="2">
        <f t="shared" si="149"/>
        <v>-818338323.2971009</v>
      </c>
      <c r="AV88" s="2">
        <f t="shared" si="150"/>
        <v>-784408592.721403</v>
      </c>
      <c r="AW88" s="2">
        <f t="shared" si="151"/>
        <v>-751585592.41994762</v>
      </c>
      <c r="AX88" s="2">
        <f t="shared" si="152"/>
        <v>-719966681.76432383</v>
      </c>
      <c r="AY88" s="2">
        <f t="shared" si="153"/>
        <v>-689635852.67194128</v>
      </c>
      <c r="AZ88" s="2">
        <f t="shared" si="154"/>
        <v>-660662825.09916234</v>
      </c>
      <c r="BA88" s="2">
        <f t="shared" si="155"/>
        <v>-633102305.8706249</v>
      </c>
      <c r="BB88" s="2">
        <f t="shared" si="156"/>
        <v>-606993417.96955121</v>
      </c>
      <c r="BC88" s="2">
        <f t="shared" si="157"/>
        <v>-582359305.28550184</v>
      </c>
      <c r="BD88" s="2">
        <f t="shared" si="158"/>
        <v>-559206915.68819904</v>
      </c>
      <c r="BE88" s="2">
        <f t="shared" si="159"/>
        <v>-537526963.20091701</v>
      </c>
      <c r="BF88" s="2">
        <f t="shared" si="160"/>
        <v>-517294068.0135842</v>
      </c>
      <c r="BG88" s="2">
        <f t="shared" si="161"/>
        <v>-498467071.12941581</v>
      </c>
      <c r="BH88" s="2">
        <f t="shared" si="162"/>
        <v>-480989518.60071963</v>
      </c>
      <c r="BI88" s="2">
        <f t="shared" si="163"/>
        <v>-464790308.59624922</v>
      </c>
      <c r="BJ88" s="2">
        <f t="shared" si="164"/>
        <v>-449784492.96644408</v>
      </c>
      <c r="BK88" s="2">
        <f t="shared" si="165"/>
        <v>-435874223.54223341</v>
      </c>
      <c r="BL88" s="2">
        <f t="shared" si="166"/>
        <v>-422949832.12194681</v>
      </c>
      <c r="BM88" s="2">
        <f t="shared" si="167"/>
        <v>-410891031.9700222</v>
      </c>
      <c r="BN88" s="2">
        <f t="shared" si="168"/>
        <v>-399568227.66844094</v>
      </c>
      <c r="BO88" s="2">
        <f t="shared" si="169"/>
        <v>-388843919.32276767</v>
      </c>
      <c r="BP88" s="2">
        <f t="shared" si="170"/>
        <v>-378574186.4233948</v>
      </c>
      <c r="BQ88" s="2">
        <f t="shared" si="171"/>
        <v>-368610236.09235442</v>
      </c>
      <c r="BR88" s="2">
        <f t="shared" si="172"/>
        <v>-358800000</v>
      </c>
      <c r="BT88" s="16"/>
      <c r="BU88" s="37">
        <v>5.3333333333333337E-2</v>
      </c>
      <c r="BV88" s="2">
        <f t="shared" si="173"/>
        <v>0.40647187995029982</v>
      </c>
      <c r="BW88" s="2">
        <f t="shared" si="174"/>
        <v>0.40647187995029982</v>
      </c>
      <c r="BX88" s="2">
        <f t="shared" si="175"/>
        <v>0.40647187995029982</v>
      </c>
      <c r="BY88" s="2">
        <f t="shared" si="176"/>
        <v>0.40647187995029982</v>
      </c>
      <c r="BZ88" s="2">
        <f t="shared" si="177"/>
        <v>0.40647187995029982</v>
      </c>
      <c r="CA88" s="2">
        <f t="shared" si="178"/>
        <v>0.40647187995029982</v>
      </c>
      <c r="CB88" s="2">
        <f t="shared" si="179"/>
        <v>0.40647187995029982</v>
      </c>
      <c r="CC88" s="2">
        <f t="shared" si="180"/>
        <v>0.40647187995029982</v>
      </c>
      <c r="CD88" s="2">
        <f t="shared" si="181"/>
        <v>0.40647187995029982</v>
      </c>
      <c r="CE88" s="2">
        <f t="shared" si="182"/>
        <v>0.40647187995029982</v>
      </c>
      <c r="CF88" s="2">
        <f t="shared" si="183"/>
        <v>0.40647187995029982</v>
      </c>
      <c r="CG88" s="2">
        <f t="shared" si="184"/>
        <v>0.40647187995029982</v>
      </c>
      <c r="CH88" s="2">
        <f t="shared" si="185"/>
        <v>0.40647187995029982</v>
      </c>
      <c r="CI88" s="2">
        <f t="shared" si="186"/>
        <v>0.40647187995029982</v>
      </c>
      <c r="CJ88" s="2">
        <f t="shared" si="187"/>
        <v>0.40647187995029982</v>
      </c>
      <c r="CK88" s="2">
        <f t="shared" si="188"/>
        <v>0.40647187995029982</v>
      </c>
      <c r="CL88" s="2">
        <f t="shared" si="189"/>
        <v>0.40647187995029982</v>
      </c>
      <c r="CM88" s="2">
        <f t="shared" si="190"/>
        <v>0.40647187995029982</v>
      </c>
      <c r="CN88" s="2">
        <f t="shared" si="191"/>
        <v>0.40647187995029982</v>
      </c>
      <c r="CO88" s="2">
        <f t="shared" si="192"/>
        <v>0.40647187995029982</v>
      </c>
      <c r="CP88" s="2">
        <f t="shared" si="193"/>
        <v>0.40647187995029982</v>
      </c>
      <c r="CQ88" s="2">
        <f t="shared" si="194"/>
        <v>0.40647187995029982</v>
      </c>
      <c r="CR88" s="2">
        <f t="shared" si="195"/>
        <v>0.40647187995029982</v>
      </c>
      <c r="CS88" s="2">
        <f t="shared" si="196"/>
        <v>0.40647187995029982</v>
      </c>
      <c r="CT88" s="2">
        <f t="shared" si="197"/>
        <v>0.40647187995029982</v>
      </c>
      <c r="CU88" s="2">
        <f t="shared" si="198"/>
        <v>0.40647187995029982</v>
      </c>
      <c r="CV88" s="2">
        <f t="shared" si="199"/>
        <v>0.40647187995029982</v>
      </c>
      <c r="CW88" s="2">
        <f t="shared" si="200"/>
        <v>0.40647187995029982</v>
      </c>
      <c r="CX88" s="2">
        <f t="shared" si="201"/>
        <v>0.40647187995029982</v>
      </c>
      <c r="CY88" s="2">
        <f t="shared" si="202"/>
        <v>0.40647187995029982</v>
      </c>
      <c r="CZ88" s="2">
        <f t="shared" si="203"/>
        <v>0.40647187995029982</v>
      </c>
      <c r="DB88" s="16"/>
      <c r="DC88" s="37">
        <v>5.3333333333333337E-2</v>
      </c>
      <c r="DD88" s="2">
        <f t="shared" si="204"/>
        <v>178.05843601491006</v>
      </c>
      <c r="DE88" s="2">
        <f t="shared" si="205"/>
        <v>171.7586905638172</v>
      </c>
      <c r="DF88" s="2">
        <f t="shared" si="206"/>
        <v>165.48475934220733</v>
      </c>
      <c r="DG88" s="2">
        <f t="shared" si="207"/>
        <v>159.26216740903433</v>
      </c>
      <c r="DH88" s="2">
        <f t="shared" si="208"/>
        <v>153.11586492830293</v>
      </c>
      <c r="DI88" s="2">
        <f t="shared" si="209"/>
        <v>147.06994828690495</v>
      </c>
      <c r="DJ88" s="2">
        <f t="shared" si="210"/>
        <v>141.14739135202197</v>
      </c>
      <c r="DK88" s="2">
        <f t="shared" si="211"/>
        <v>135.36979001983059</v>
      </c>
      <c r="DL88" s="2">
        <f t="shared" si="212"/>
        <v>129.75712301805055</v>
      </c>
      <c r="DM88" s="2">
        <f t="shared" si="213"/>
        <v>124.32753169605679</v>
      </c>
      <c r="DN88" s="2">
        <f t="shared" si="214"/>
        <v>119.09712127257524</v>
      </c>
      <c r="DO88" s="2">
        <f t="shared" si="215"/>
        <v>114.07978571773953</v>
      </c>
      <c r="DP88" s="2">
        <f t="shared" si="216"/>
        <v>109.28705812927249</v>
      </c>
      <c r="DQ88" s="2">
        <f t="shared" si="217"/>
        <v>104.72798812779328</v>
      </c>
      <c r="DR88" s="2">
        <f t="shared" si="218"/>
        <v>100.40904744983547</v>
      </c>
      <c r="DS88" s="2">
        <f t="shared" si="219"/>
        <v>96.334064565092916</v>
      </c>
      <c r="DT88" s="2">
        <f t="shared" si="220"/>
        <v>92.504188792421417</v>
      </c>
      <c r="DU88" s="2">
        <f t="shared" si="221"/>
        <v>88.917884042548678</v>
      </c>
      <c r="DV88" s="2">
        <f t="shared" si="222"/>
        <v>85.57095197908707</v>
      </c>
      <c r="DW88" s="2">
        <f t="shared" si="223"/>
        <v>82.456584067481145</v>
      </c>
      <c r="DX88" s="2">
        <f t="shared" si="224"/>
        <v>79.565441677451346</v>
      </c>
      <c r="DY88" s="2">
        <f t="shared" si="225"/>
        <v>76.885763121084693</v>
      </c>
      <c r="DZ88" s="2">
        <f t="shared" si="226"/>
        <v>74.403496248015941</v>
      </c>
      <c r="EA88" s="2">
        <f t="shared" si="227"/>
        <v>72.10245498248176</v>
      </c>
      <c r="EB88" s="2">
        <f t="shared" si="228"/>
        <v>69.964497975104621</v>
      </c>
      <c r="EC88" s="2">
        <f t="shared" si="229"/>
        <v>67.969727355197477</v>
      </c>
      <c r="ED88" s="2">
        <f t="shared" si="230"/>
        <v>66.096705406811694</v>
      </c>
      <c r="EE88" s="2">
        <f t="shared" si="231"/>
        <v>64.322686852954178</v>
      </c>
      <c r="EF88" s="2">
        <f t="shared" si="232"/>
        <v>62.623864316394169</v>
      </c>
      <c r="EG88" s="2">
        <f t="shared" si="233"/>
        <v>60.97562443115141</v>
      </c>
      <c r="EH88" s="2">
        <f t="shared" si="234"/>
        <v>59.352812004970019</v>
      </c>
    </row>
    <row r="89" spans="5:138">
      <c r="E89" s="18"/>
      <c r="F89" s="37">
        <v>0.05</v>
      </c>
      <c r="G89" s="2">
        <f t="shared" si="139"/>
        <v>300</v>
      </c>
      <c r="H89" s="2">
        <f t="shared" si="235"/>
        <v>289.38593600154053</v>
      </c>
      <c r="I89" s="2">
        <f t="shared" si="236"/>
        <v>278.81536485305895</v>
      </c>
      <c r="J89" s="2">
        <f t="shared" si="237"/>
        <v>268.33129219841885</v>
      </c>
      <c r="K89" s="2">
        <f t="shared" si="238"/>
        <v>257.97575507539807</v>
      </c>
      <c r="L89" s="2">
        <f t="shared" si="239"/>
        <v>247.78935204382526</v>
      </c>
      <c r="M89" s="2">
        <f t="shared" si="240"/>
        <v>237.81079039726495</v>
      </c>
      <c r="N89" s="2">
        <f t="shared" si="241"/>
        <v>228.07645576842279</v>
      </c>
      <c r="O89" s="2">
        <f t="shared" si="242"/>
        <v>218.62000911967758</v>
      </c>
      <c r="P89" s="2">
        <f t="shared" si="243"/>
        <v>209.47201572462311</v>
      </c>
      <c r="Q89" s="2">
        <f t="shared" si="244"/>
        <v>200.65961030220845</v>
      </c>
      <c r="R89" s="2">
        <f t="shared" si="245"/>
        <v>192.20620197099817</v>
      </c>
      <c r="S89" s="2">
        <f t="shared" si="246"/>
        <v>184.13122215695716</v>
      </c>
      <c r="T89" s="2">
        <f t="shared" si="247"/>
        <v>176.44991802414296</v>
      </c>
      <c r="U89" s="2">
        <f t="shared" si="248"/>
        <v>169.17319341403322</v>
      </c>
      <c r="V89" s="2">
        <f t="shared" si="249"/>
        <v>162.30749868603732</v>
      </c>
      <c r="W89" s="2">
        <f t="shared" si="250"/>
        <v>155.8547702586954</v>
      </c>
      <c r="X89" s="2">
        <f t="shared" si="251"/>
        <v>149.81242006714524</v>
      </c>
      <c r="Y89" s="2">
        <f t="shared" si="252"/>
        <v>144.17337458572581</v>
      </c>
      <c r="Z89" s="2">
        <f t="shared" si="253"/>
        <v>138.92616252213372</v>
      </c>
      <c r="AA89" s="2">
        <f t="shared" si="254"/>
        <v>134.05504977723513</v>
      </c>
      <c r="AB89" s="2">
        <f t="shared" si="255"/>
        <v>129.54021978713749</v>
      </c>
      <c r="AC89" s="2">
        <f t="shared" si="256"/>
        <v>125.35799692487294</v>
      </c>
      <c r="AD89" s="2">
        <f t="shared" si="257"/>
        <v>121.4811102403103</v>
      </c>
      <c r="AE89" s="2">
        <f t="shared" si="258"/>
        <v>117.87899445985138</v>
      </c>
      <c r="AF89" s="2">
        <f t="shared" si="259"/>
        <v>114.51812485229159</v>
      </c>
      <c r="AG89" s="2">
        <f t="shared" si="260"/>
        <v>111.36238229332244</v>
      </c>
      <c r="AH89" s="2">
        <f t="shared" si="261"/>
        <v>108.37344462730425</v>
      </c>
      <c r="AI89" s="2">
        <f t="shared" si="262"/>
        <v>105.51120022948575</v>
      </c>
      <c r="AJ89" s="2">
        <f t="shared" si="263"/>
        <v>102.7341795129193</v>
      </c>
      <c r="AK89" s="2">
        <f t="shared" si="141"/>
        <v>100</v>
      </c>
      <c r="AL89" s="16"/>
      <c r="AM89" s="37">
        <v>0.05</v>
      </c>
      <c r="AN89" s="2">
        <f t="shared" si="142"/>
        <v>-1076400000</v>
      </c>
      <c r="AO89" s="2">
        <f t="shared" si="143"/>
        <v>-1038316738.3735274</v>
      </c>
      <c r="AP89" s="2">
        <f t="shared" si="144"/>
        <v>-1000389529.0927755</v>
      </c>
      <c r="AQ89" s="2">
        <f t="shared" si="145"/>
        <v>-962772676.4079268</v>
      </c>
      <c r="AR89" s="2">
        <f t="shared" si="146"/>
        <v>-925617009.21052825</v>
      </c>
      <c r="AS89" s="2">
        <f t="shared" si="147"/>
        <v>-889068195.13324499</v>
      </c>
      <c r="AT89" s="2">
        <f t="shared" si="148"/>
        <v>-853265115.94538641</v>
      </c>
      <c r="AU89" s="2">
        <f t="shared" si="149"/>
        <v>-818338323.2971009</v>
      </c>
      <c r="AV89" s="2">
        <f t="shared" si="150"/>
        <v>-784408592.721403</v>
      </c>
      <c r="AW89" s="2">
        <f t="shared" si="151"/>
        <v>-751585592.41994762</v>
      </c>
      <c r="AX89" s="2">
        <f t="shared" si="152"/>
        <v>-719966681.76432383</v>
      </c>
      <c r="AY89" s="2">
        <f t="shared" si="153"/>
        <v>-689635852.67194128</v>
      </c>
      <c r="AZ89" s="2">
        <f t="shared" si="154"/>
        <v>-660662825.09916234</v>
      </c>
      <c r="BA89" s="2">
        <f t="shared" si="155"/>
        <v>-633102305.8706249</v>
      </c>
      <c r="BB89" s="2">
        <f t="shared" si="156"/>
        <v>-606993417.96955121</v>
      </c>
      <c r="BC89" s="2">
        <f t="shared" si="157"/>
        <v>-582359305.28550184</v>
      </c>
      <c r="BD89" s="2">
        <f t="shared" si="158"/>
        <v>-559206915.68819904</v>
      </c>
      <c r="BE89" s="2">
        <f t="shared" si="159"/>
        <v>-537526963.20091701</v>
      </c>
      <c r="BF89" s="2">
        <f t="shared" si="160"/>
        <v>-517294068.0135842</v>
      </c>
      <c r="BG89" s="2">
        <f t="shared" si="161"/>
        <v>-498467071.12941581</v>
      </c>
      <c r="BH89" s="2">
        <f t="shared" si="162"/>
        <v>-480989518.60071963</v>
      </c>
      <c r="BI89" s="2">
        <f t="shared" si="163"/>
        <v>-464790308.59624922</v>
      </c>
      <c r="BJ89" s="2">
        <f t="shared" si="164"/>
        <v>-449784492.96644408</v>
      </c>
      <c r="BK89" s="2">
        <f t="shared" si="165"/>
        <v>-435874223.54223341</v>
      </c>
      <c r="BL89" s="2">
        <f t="shared" si="166"/>
        <v>-422949832.12194681</v>
      </c>
      <c r="BM89" s="2">
        <f t="shared" si="167"/>
        <v>-410891031.9700222</v>
      </c>
      <c r="BN89" s="2">
        <f t="shared" si="168"/>
        <v>-399568227.66844094</v>
      </c>
      <c r="BO89" s="2">
        <f t="shared" si="169"/>
        <v>-388843919.32276767</v>
      </c>
      <c r="BP89" s="2">
        <f t="shared" si="170"/>
        <v>-378574186.4233948</v>
      </c>
      <c r="BQ89" s="2">
        <f t="shared" si="171"/>
        <v>-368610236.09235442</v>
      </c>
      <c r="BR89" s="2">
        <f t="shared" si="172"/>
        <v>-358800000</v>
      </c>
      <c r="BT89" s="16"/>
      <c r="BU89" s="37">
        <v>0.05</v>
      </c>
      <c r="BV89" s="2">
        <f t="shared" si="173"/>
        <v>0.40647187995160011</v>
      </c>
      <c r="BW89" s="2">
        <f t="shared" si="174"/>
        <v>0.40647187995160011</v>
      </c>
      <c r="BX89" s="2">
        <f t="shared" si="175"/>
        <v>0.40647187995160011</v>
      </c>
      <c r="BY89" s="2">
        <f t="shared" si="176"/>
        <v>0.40647187995160011</v>
      </c>
      <c r="BZ89" s="2">
        <f t="shared" si="177"/>
        <v>0.40647187995160011</v>
      </c>
      <c r="CA89" s="2">
        <f t="shared" si="178"/>
        <v>0.40647187995160011</v>
      </c>
      <c r="CB89" s="2">
        <f t="shared" si="179"/>
        <v>0.40647187995160011</v>
      </c>
      <c r="CC89" s="2">
        <f t="shared" si="180"/>
        <v>0.40647187995160011</v>
      </c>
      <c r="CD89" s="2">
        <f t="shared" si="181"/>
        <v>0.40647187995160011</v>
      </c>
      <c r="CE89" s="2">
        <f t="shared" si="182"/>
        <v>0.40647187995160011</v>
      </c>
      <c r="CF89" s="2">
        <f t="shared" si="183"/>
        <v>0.40647187995160011</v>
      </c>
      <c r="CG89" s="2">
        <f t="shared" si="184"/>
        <v>0.40647187995160011</v>
      </c>
      <c r="CH89" s="2">
        <f t="shared" si="185"/>
        <v>0.40647187995160011</v>
      </c>
      <c r="CI89" s="2">
        <f t="shared" si="186"/>
        <v>0.40647187995160011</v>
      </c>
      <c r="CJ89" s="2">
        <f t="shared" si="187"/>
        <v>0.40647187995160011</v>
      </c>
      <c r="CK89" s="2">
        <f t="shared" si="188"/>
        <v>0.40647187995160011</v>
      </c>
      <c r="CL89" s="2">
        <f t="shared" si="189"/>
        <v>0.40647187995160011</v>
      </c>
      <c r="CM89" s="2">
        <f t="shared" si="190"/>
        <v>0.40647187995160011</v>
      </c>
      <c r="CN89" s="2">
        <f t="shared" si="191"/>
        <v>0.40647187995160011</v>
      </c>
      <c r="CO89" s="2">
        <f t="shared" si="192"/>
        <v>0.40647187995160011</v>
      </c>
      <c r="CP89" s="2">
        <f t="shared" si="193"/>
        <v>0.40647187995160011</v>
      </c>
      <c r="CQ89" s="2">
        <f t="shared" si="194"/>
        <v>0.40647187995160011</v>
      </c>
      <c r="CR89" s="2">
        <f t="shared" si="195"/>
        <v>0.40647187995160011</v>
      </c>
      <c r="CS89" s="2">
        <f t="shared" si="196"/>
        <v>0.40647187995160011</v>
      </c>
      <c r="CT89" s="2">
        <f t="shared" si="197"/>
        <v>0.40647187995160011</v>
      </c>
      <c r="CU89" s="2">
        <f t="shared" si="198"/>
        <v>0.40647187995160011</v>
      </c>
      <c r="CV89" s="2">
        <f t="shared" si="199"/>
        <v>0.40647187995160011</v>
      </c>
      <c r="CW89" s="2">
        <f t="shared" si="200"/>
        <v>0.40647187995160011</v>
      </c>
      <c r="CX89" s="2">
        <f t="shared" si="201"/>
        <v>0.40647187995160011</v>
      </c>
      <c r="CY89" s="2">
        <f t="shared" si="202"/>
        <v>0.40647187995160011</v>
      </c>
      <c r="CZ89" s="2">
        <f t="shared" si="203"/>
        <v>0.40647187995160011</v>
      </c>
      <c r="DB89" s="16"/>
      <c r="DC89" s="37">
        <v>0.05</v>
      </c>
      <c r="DD89" s="2">
        <f t="shared" si="204"/>
        <v>178.05843601451994</v>
      </c>
      <c r="DE89" s="2">
        <f t="shared" si="205"/>
        <v>171.75869056344089</v>
      </c>
      <c r="DF89" s="2">
        <f t="shared" si="206"/>
        <v>165.48475934184478</v>
      </c>
      <c r="DG89" s="2">
        <f t="shared" si="207"/>
        <v>159.26216740868543</v>
      </c>
      <c r="DH89" s="2">
        <f t="shared" si="208"/>
        <v>153.11586492796746</v>
      </c>
      <c r="DI89" s="2">
        <f t="shared" si="209"/>
        <v>147.06994828658273</v>
      </c>
      <c r="DJ89" s="2">
        <f t="shared" si="210"/>
        <v>141.14739135171274</v>
      </c>
      <c r="DK89" s="2">
        <f t="shared" si="211"/>
        <v>135.36979001953401</v>
      </c>
      <c r="DL89" s="2">
        <f t="shared" si="212"/>
        <v>129.75712301776628</v>
      </c>
      <c r="DM89" s="2">
        <f t="shared" si="213"/>
        <v>124.32753169578442</v>
      </c>
      <c r="DN89" s="2">
        <f t="shared" si="214"/>
        <v>119.09712127231431</v>
      </c>
      <c r="DO89" s="2">
        <f t="shared" si="215"/>
        <v>114.07978571748959</v>
      </c>
      <c r="DP89" s="2">
        <f t="shared" si="216"/>
        <v>109.28705812903307</v>
      </c>
      <c r="DQ89" s="2">
        <f t="shared" si="217"/>
        <v>104.72798812756383</v>
      </c>
      <c r="DR89" s="2">
        <f t="shared" si="218"/>
        <v>100.4090474496155</v>
      </c>
      <c r="DS89" s="2">
        <f t="shared" si="219"/>
        <v>96.334064564881871</v>
      </c>
      <c r="DT89" s="2">
        <f t="shared" si="220"/>
        <v>92.504188792218741</v>
      </c>
      <c r="DU89" s="2">
        <f t="shared" si="221"/>
        <v>88.91788404235389</v>
      </c>
      <c r="DV89" s="2">
        <f t="shared" si="222"/>
        <v>85.5709519788996</v>
      </c>
      <c r="DW89" s="2">
        <f t="shared" si="223"/>
        <v>82.456584067300511</v>
      </c>
      <c r="DX89" s="2">
        <f t="shared" si="224"/>
        <v>79.565441677277036</v>
      </c>
      <c r="DY89" s="2">
        <f t="shared" si="225"/>
        <v>76.885763120916238</v>
      </c>
      <c r="DZ89" s="2">
        <f t="shared" si="226"/>
        <v>74.403496247852928</v>
      </c>
      <c r="EA89" s="2">
        <f t="shared" si="227"/>
        <v>72.102454982323792</v>
      </c>
      <c r="EB89" s="2">
        <f t="shared" si="228"/>
        <v>69.964497974951342</v>
      </c>
      <c r="EC89" s="2">
        <f t="shared" si="229"/>
        <v>67.969727355048576</v>
      </c>
      <c r="ED89" s="2">
        <f t="shared" si="230"/>
        <v>66.096705406666885</v>
      </c>
      <c r="EE89" s="2">
        <f t="shared" si="231"/>
        <v>64.322686852813263</v>
      </c>
      <c r="EF89" s="2">
        <f t="shared" si="232"/>
        <v>62.62386431625697</v>
      </c>
      <c r="EG89" s="2">
        <f t="shared" si="233"/>
        <v>60.975624431017827</v>
      </c>
      <c r="EH89" s="2">
        <f t="shared" si="234"/>
        <v>59.352812004839983</v>
      </c>
    </row>
    <row r="90" spans="5:138">
      <c r="E90" s="18"/>
      <c r="F90" s="37">
        <v>4.6666666666666669E-2</v>
      </c>
      <c r="G90" s="2">
        <f t="shared" si="139"/>
        <v>300</v>
      </c>
      <c r="H90" s="2">
        <f t="shared" si="235"/>
        <v>289.38593600154059</v>
      </c>
      <c r="I90" s="2">
        <f t="shared" si="236"/>
        <v>278.81536485305901</v>
      </c>
      <c r="J90" s="2">
        <f t="shared" si="237"/>
        <v>268.33129219841896</v>
      </c>
      <c r="K90" s="2">
        <f t="shared" si="238"/>
        <v>257.97575507539813</v>
      </c>
      <c r="L90" s="2">
        <f t="shared" si="239"/>
        <v>247.78935204382529</v>
      </c>
      <c r="M90" s="2">
        <f t="shared" si="240"/>
        <v>237.81079039726501</v>
      </c>
      <c r="N90" s="2">
        <f t="shared" si="241"/>
        <v>228.07645576842282</v>
      </c>
      <c r="O90" s="2">
        <f t="shared" si="242"/>
        <v>218.62000911967763</v>
      </c>
      <c r="P90" s="2">
        <f t="shared" si="243"/>
        <v>209.47201572462316</v>
      </c>
      <c r="Q90" s="2">
        <f t="shared" si="244"/>
        <v>200.65961030220848</v>
      </c>
      <c r="R90" s="2">
        <f t="shared" si="245"/>
        <v>192.20620197099819</v>
      </c>
      <c r="S90" s="2">
        <f t="shared" si="246"/>
        <v>184.13122215695722</v>
      </c>
      <c r="T90" s="2">
        <f t="shared" si="247"/>
        <v>176.44991802414302</v>
      </c>
      <c r="U90" s="2">
        <f t="shared" si="248"/>
        <v>169.17319341403328</v>
      </c>
      <c r="V90" s="2">
        <f t="shared" si="249"/>
        <v>162.30749868603735</v>
      </c>
      <c r="W90" s="2">
        <f t="shared" si="250"/>
        <v>155.85477025869542</v>
      </c>
      <c r="X90" s="2">
        <f t="shared" si="251"/>
        <v>149.81242006714527</v>
      </c>
      <c r="Y90" s="2">
        <f t="shared" si="252"/>
        <v>144.17337458572584</v>
      </c>
      <c r="Z90" s="2">
        <f t="shared" si="253"/>
        <v>138.92616252213375</v>
      </c>
      <c r="AA90" s="2">
        <f t="shared" si="254"/>
        <v>134.05504977723515</v>
      </c>
      <c r="AB90" s="2">
        <f t="shared" si="255"/>
        <v>129.54021978713749</v>
      </c>
      <c r="AC90" s="2">
        <f t="shared" si="256"/>
        <v>125.35799692487295</v>
      </c>
      <c r="AD90" s="2">
        <f t="shared" si="257"/>
        <v>121.48111024031033</v>
      </c>
      <c r="AE90" s="2">
        <f t="shared" si="258"/>
        <v>117.87899445985141</v>
      </c>
      <c r="AF90" s="2">
        <f t="shared" si="259"/>
        <v>114.51812485229161</v>
      </c>
      <c r="AG90" s="2">
        <f t="shared" si="260"/>
        <v>111.36238229332247</v>
      </c>
      <c r="AH90" s="2">
        <f t="shared" si="261"/>
        <v>108.37344462730428</v>
      </c>
      <c r="AI90" s="2">
        <f t="shared" si="262"/>
        <v>105.51120022948575</v>
      </c>
      <c r="AJ90" s="2">
        <f t="shared" si="263"/>
        <v>102.73417951291931</v>
      </c>
      <c r="AK90" s="2">
        <f t="shared" si="141"/>
        <v>100</v>
      </c>
      <c r="AL90" s="16"/>
      <c r="AM90" s="37">
        <v>4.6666666666666669E-2</v>
      </c>
      <c r="AN90" s="2">
        <f t="shared" si="142"/>
        <v>-1076400000</v>
      </c>
      <c r="AO90" s="2">
        <f t="shared" si="143"/>
        <v>-1038316738.3735276</v>
      </c>
      <c r="AP90" s="2">
        <f t="shared" si="144"/>
        <v>-1000389529.0927757</v>
      </c>
      <c r="AQ90" s="2">
        <f t="shared" si="145"/>
        <v>-962772676.40792727</v>
      </c>
      <c r="AR90" s="2">
        <f t="shared" si="146"/>
        <v>-925617009.21052849</v>
      </c>
      <c r="AS90" s="2">
        <f t="shared" si="147"/>
        <v>-889068195.13324499</v>
      </c>
      <c r="AT90" s="2">
        <f t="shared" si="148"/>
        <v>-853265115.94538665</v>
      </c>
      <c r="AU90" s="2">
        <f t="shared" si="149"/>
        <v>-818338323.29710102</v>
      </c>
      <c r="AV90" s="2">
        <f t="shared" si="150"/>
        <v>-784408592.72140324</v>
      </c>
      <c r="AW90" s="2">
        <f t="shared" si="151"/>
        <v>-751585592.41994786</v>
      </c>
      <c r="AX90" s="2">
        <f t="shared" si="152"/>
        <v>-719966681.76432407</v>
      </c>
      <c r="AY90" s="2">
        <f t="shared" si="153"/>
        <v>-689635852.67194152</v>
      </c>
      <c r="AZ90" s="2">
        <f t="shared" si="154"/>
        <v>-660662825.09916246</v>
      </c>
      <c r="BA90" s="2">
        <f t="shared" si="155"/>
        <v>-633102305.87062514</v>
      </c>
      <c r="BB90" s="2">
        <f t="shared" si="156"/>
        <v>-606993417.96955132</v>
      </c>
      <c r="BC90" s="2">
        <f t="shared" si="157"/>
        <v>-582359305.28550196</v>
      </c>
      <c r="BD90" s="2">
        <f t="shared" si="158"/>
        <v>-559206915.68819916</v>
      </c>
      <c r="BE90" s="2">
        <f t="shared" si="159"/>
        <v>-537526963.20091712</v>
      </c>
      <c r="BF90" s="2">
        <f t="shared" si="160"/>
        <v>-517294068.01358432</v>
      </c>
      <c r="BG90" s="2">
        <f t="shared" si="161"/>
        <v>-498467071.12941587</v>
      </c>
      <c r="BH90" s="2">
        <f t="shared" si="162"/>
        <v>-480989518.60071981</v>
      </c>
      <c r="BI90" s="2">
        <f t="shared" si="163"/>
        <v>-464790308.59624922</v>
      </c>
      <c r="BJ90" s="2">
        <f t="shared" si="164"/>
        <v>-449784492.96644408</v>
      </c>
      <c r="BK90" s="2">
        <f t="shared" si="165"/>
        <v>-435874223.54223347</v>
      </c>
      <c r="BL90" s="2">
        <f t="shared" si="166"/>
        <v>-422949832.12194687</v>
      </c>
      <c r="BM90" s="2">
        <f t="shared" si="167"/>
        <v>-410891031.97002226</v>
      </c>
      <c r="BN90" s="2">
        <f t="shared" si="168"/>
        <v>-399568227.668441</v>
      </c>
      <c r="BO90" s="2">
        <f t="shared" si="169"/>
        <v>-388843919.32276773</v>
      </c>
      <c r="BP90" s="2">
        <f t="shared" si="170"/>
        <v>-378574186.4233948</v>
      </c>
      <c r="BQ90" s="2">
        <f t="shared" si="171"/>
        <v>-368610236.09235442</v>
      </c>
      <c r="BR90" s="2">
        <f t="shared" si="172"/>
        <v>-358800000</v>
      </c>
      <c r="BT90" s="16"/>
      <c r="BU90" s="37">
        <v>4.6666666666666669E-2</v>
      </c>
      <c r="BV90" s="2">
        <f t="shared" si="173"/>
        <v>0.40647187995947059</v>
      </c>
      <c r="BW90" s="2">
        <f t="shared" si="174"/>
        <v>0.40647187995947059</v>
      </c>
      <c r="BX90" s="2">
        <f t="shared" si="175"/>
        <v>0.40647187995947059</v>
      </c>
      <c r="BY90" s="2">
        <f t="shared" si="176"/>
        <v>0.40647187995947059</v>
      </c>
      <c r="BZ90" s="2">
        <f t="shared" si="177"/>
        <v>0.40647187995947059</v>
      </c>
      <c r="CA90" s="2">
        <f t="shared" si="178"/>
        <v>0.40647187995947059</v>
      </c>
      <c r="CB90" s="2">
        <f t="shared" si="179"/>
        <v>0.40647187995947059</v>
      </c>
      <c r="CC90" s="2">
        <f t="shared" si="180"/>
        <v>0.40647187995947059</v>
      </c>
      <c r="CD90" s="2">
        <f t="shared" si="181"/>
        <v>0.40647187995947059</v>
      </c>
      <c r="CE90" s="2">
        <f t="shared" si="182"/>
        <v>0.40647187995947059</v>
      </c>
      <c r="CF90" s="2">
        <f t="shared" si="183"/>
        <v>0.40647187995947059</v>
      </c>
      <c r="CG90" s="2">
        <f t="shared" si="184"/>
        <v>0.40647187995947059</v>
      </c>
      <c r="CH90" s="2">
        <f t="shared" si="185"/>
        <v>0.40647187995947059</v>
      </c>
      <c r="CI90" s="2">
        <f t="shared" si="186"/>
        <v>0.40647187995947059</v>
      </c>
      <c r="CJ90" s="2">
        <f t="shared" si="187"/>
        <v>0.40647187995947059</v>
      </c>
      <c r="CK90" s="2">
        <f t="shared" si="188"/>
        <v>0.40647187995947059</v>
      </c>
      <c r="CL90" s="2">
        <f t="shared" si="189"/>
        <v>0.40647187995947059</v>
      </c>
      <c r="CM90" s="2">
        <f t="shared" si="190"/>
        <v>0.40647187995947059</v>
      </c>
      <c r="CN90" s="2">
        <f t="shared" si="191"/>
        <v>0.40647187995947059</v>
      </c>
      <c r="CO90" s="2">
        <f t="shared" si="192"/>
        <v>0.40647187995947059</v>
      </c>
      <c r="CP90" s="2">
        <f t="shared" si="193"/>
        <v>0.40647187995947059</v>
      </c>
      <c r="CQ90" s="2">
        <f t="shared" si="194"/>
        <v>0.40647187995947059</v>
      </c>
      <c r="CR90" s="2">
        <f t="shared" si="195"/>
        <v>0.40647187995947059</v>
      </c>
      <c r="CS90" s="2">
        <f t="shared" si="196"/>
        <v>0.40647187995947059</v>
      </c>
      <c r="CT90" s="2">
        <f t="shared" si="197"/>
        <v>0.40647187995947059</v>
      </c>
      <c r="CU90" s="2">
        <f t="shared" si="198"/>
        <v>0.40647187995947059</v>
      </c>
      <c r="CV90" s="2">
        <f t="shared" si="199"/>
        <v>0.40647187995947059</v>
      </c>
      <c r="CW90" s="2">
        <f t="shared" si="200"/>
        <v>0.40647187995947059</v>
      </c>
      <c r="CX90" s="2">
        <f t="shared" si="201"/>
        <v>0.40647187995947059</v>
      </c>
      <c r="CY90" s="2">
        <f t="shared" si="202"/>
        <v>0.40647187995947059</v>
      </c>
      <c r="CZ90" s="2">
        <f t="shared" si="203"/>
        <v>0.40647187995947059</v>
      </c>
      <c r="DB90" s="16"/>
      <c r="DC90" s="37">
        <v>4.6666666666666669E-2</v>
      </c>
      <c r="DD90" s="2">
        <f t="shared" si="204"/>
        <v>178.05843601215884</v>
      </c>
      <c r="DE90" s="2">
        <f t="shared" si="205"/>
        <v>171.75869056116335</v>
      </c>
      <c r="DF90" s="2">
        <f t="shared" si="206"/>
        <v>165.48475933965042</v>
      </c>
      <c r="DG90" s="2">
        <f t="shared" si="207"/>
        <v>159.26216740657361</v>
      </c>
      <c r="DH90" s="2">
        <f t="shared" si="208"/>
        <v>153.11586492593713</v>
      </c>
      <c r="DI90" s="2">
        <f t="shared" si="209"/>
        <v>147.06994828463255</v>
      </c>
      <c r="DJ90" s="2">
        <f t="shared" si="210"/>
        <v>141.14739134984109</v>
      </c>
      <c r="DK90" s="2">
        <f t="shared" si="211"/>
        <v>135.36979001773898</v>
      </c>
      <c r="DL90" s="2">
        <f t="shared" si="212"/>
        <v>129.75712301604568</v>
      </c>
      <c r="DM90" s="2">
        <f t="shared" si="213"/>
        <v>124.32753169413583</v>
      </c>
      <c r="DN90" s="2">
        <f t="shared" si="214"/>
        <v>119.09712127073507</v>
      </c>
      <c r="DO90" s="2">
        <f t="shared" si="215"/>
        <v>114.07978571597687</v>
      </c>
      <c r="DP90" s="2">
        <f t="shared" si="216"/>
        <v>109.2870581275839</v>
      </c>
      <c r="DQ90" s="2">
        <f t="shared" si="217"/>
        <v>104.72798812617513</v>
      </c>
      <c r="DR90" s="2">
        <f t="shared" si="218"/>
        <v>100.40904744828406</v>
      </c>
      <c r="DS90" s="2">
        <f t="shared" si="219"/>
        <v>96.334064563604457</v>
      </c>
      <c r="DT90" s="2">
        <f t="shared" si="220"/>
        <v>92.504188790992131</v>
      </c>
      <c r="DU90" s="2">
        <f t="shared" si="221"/>
        <v>88.917884041174815</v>
      </c>
      <c r="DV90" s="2">
        <f t="shared" si="222"/>
        <v>85.570951977764906</v>
      </c>
      <c r="DW90" s="2">
        <f t="shared" si="223"/>
        <v>82.4565840662071</v>
      </c>
      <c r="DX90" s="2">
        <f t="shared" si="224"/>
        <v>79.565441676221994</v>
      </c>
      <c r="DY90" s="2">
        <f t="shared" si="225"/>
        <v>76.885763119896694</v>
      </c>
      <c r="DZ90" s="2">
        <f t="shared" si="226"/>
        <v>74.403496246866311</v>
      </c>
      <c r="EA90" s="2">
        <f t="shared" si="227"/>
        <v>72.1024549813677</v>
      </c>
      <c r="EB90" s="2">
        <f t="shared" si="228"/>
        <v>69.964497974023601</v>
      </c>
      <c r="EC90" s="2">
        <f t="shared" si="229"/>
        <v>67.969727354147281</v>
      </c>
      <c r="ED90" s="2">
        <f t="shared" si="230"/>
        <v>66.096705405790431</v>
      </c>
      <c r="EE90" s="2">
        <f t="shared" si="231"/>
        <v>64.322686851960327</v>
      </c>
      <c r="EF90" s="2">
        <f t="shared" si="232"/>
        <v>62.623864315426552</v>
      </c>
      <c r="EG90" s="2">
        <f t="shared" si="233"/>
        <v>60.975624430209272</v>
      </c>
      <c r="EH90" s="2">
        <f t="shared" si="234"/>
        <v>59.35281200405295</v>
      </c>
    </row>
    <row r="91" spans="5:138">
      <c r="E91" s="18"/>
      <c r="F91" s="37">
        <v>4.3333333333333335E-2</v>
      </c>
      <c r="G91" s="2">
        <f t="shared" si="139"/>
        <v>300</v>
      </c>
      <c r="H91" s="2">
        <f t="shared" si="235"/>
        <v>289.38593600154059</v>
      </c>
      <c r="I91" s="2">
        <f t="shared" si="236"/>
        <v>278.81536485305901</v>
      </c>
      <c r="J91" s="2">
        <f t="shared" si="237"/>
        <v>268.33129219841902</v>
      </c>
      <c r="K91" s="2">
        <f t="shared" si="238"/>
        <v>257.97575507539818</v>
      </c>
      <c r="L91" s="2">
        <f t="shared" si="239"/>
        <v>247.78935204382532</v>
      </c>
      <c r="M91" s="2">
        <f t="shared" si="240"/>
        <v>237.81079039726501</v>
      </c>
      <c r="N91" s="2">
        <f t="shared" si="241"/>
        <v>228.07645576842287</v>
      </c>
      <c r="O91" s="2">
        <f t="shared" si="242"/>
        <v>218.62000911967766</v>
      </c>
      <c r="P91" s="2">
        <f t="shared" si="243"/>
        <v>209.47201572462319</v>
      </c>
      <c r="Q91" s="2">
        <f t="shared" si="244"/>
        <v>200.65961030220848</v>
      </c>
      <c r="R91" s="2">
        <f t="shared" si="245"/>
        <v>192.20620197099819</v>
      </c>
      <c r="S91" s="2">
        <f t="shared" si="246"/>
        <v>184.13122215695722</v>
      </c>
      <c r="T91" s="2">
        <f t="shared" si="247"/>
        <v>176.44991802414302</v>
      </c>
      <c r="U91" s="2">
        <f t="shared" si="248"/>
        <v>169.17319341403328</v>
      </c>
      <c r="V91" s="2">
        <f t="shared" si="249"/>
        <v>162.30749868603738</v>
      </c>
      <c r="W91" s="2">
        <f t="shared" si="250"/>
        <v>155.85477025869545</v>
      </c>
      <c r="X91" s="2">
        <f t="shared" si="251"/>
        <v>149.8124200671453</v>
      </c>
      <c r="Y91" s="2">
        <f t="shared" si="252"/>
        <v>144.17337458572587</v>
      </c>
      <c r="Z91" s="2">
        <f t="shared" si="253"/>
        <v>138.92616252213375</v>
      </c>
      <c r="AA91" s="2">
        <f t="shared" si="254"/>
        <v>134.05504977723518</v>
      </c>
      <c r="AB91" s="2">
        <f t="shared" si="255"/>
        <v>129.54021978713749</v>
      </c>
      <c r="AC91" s="2">
        <f t="shared" si="256"/>
        <v>125.35799692487296</v>
      </c>
      <c r="AD91" s="2">
        <f t="shared" si="257"/>
        <v>121.48111024031034</v>
      </c>
      <c r="AE91" s="2">
        <f t="shared" si="258"/>
        <v>117.87899445985141</v>
      </c>
      <c r="AF91" s="2">
        <f t="shared" si="259"/>
        <v>114.51812485229161</v>
      </c>
      <c r="AG91" s="2">
        <f t="shared" si="260"/>
        <v>111.36238229332248</v>
      </c>
      <c r="AH91" s="2">
        <f t="shared" si="261"/>
        <v>108.37344462730428</v>
      </c>
      <c r="AI91" s="2">
        <f t="shared" si="262"/>
        <v>105.51120022948577</v>
      </c>
      <c r="AJ91" s="2">
        <f t="shared" si="263"/>
        <v>102.73417951291933</v>
      </c>
      <c r="AK91" s="2">
        <f t="shared" si="141"/>
        <v>100</v>
      </c>
      <c r="AL91" s="16"/>
      <c r="AM91" s="37">
        <v>4.3333333333333335E-2</v>
      </c>
      <c r="AN91" s="2">
        <f t="shared" si="142"/>
        <v>-1076400000</v>
      </c>
      <c r="AO91" s="2">
        <f t="shared" si="143"/>
        <v>-1038316738.3735276</v>
      </c>
      <c r="AP91" s="2">
        <f t="shared" si="144"/>
        <v>-1000389529.0927757</v>
      </c>
      <c r="AQ91" s="2">
        <f t="shared" si="145"/>
        <v>-962772676.40792727</v>
      </c>
      <c r="AR91" s="2">
        <f t="shared" si="146"/>
        <v>-925617009.21052873</v>
      </c>
      <c r="AS91" s="2">
        <f t="shared" si="147"/>
        <v>-889068195.13324523</v>
      </c>
      <c r="AT91" s="2">
        <f t="shared" si="148"/>
        <v>-853265115.94538689</v>
      </c>
      <c r="AU91" s="2">
        <f t="shared" si="149"/>
        <v>-818338323.29710126</v>
      </c>
      <c r="AV91" s="2">
        <f t="shared" si="150"/>
        <v>-784408592.72140336</v>
      </c>
      <c r="AW91" s="2">
        <f t="shared" si="151"/>
        <v>-751585592.41994798</v>
      </c>
      <c r="AX91" s="2">
        <f t="shared" si="152"/>
        <v>-719966681.76432407</v>
      </c>
      <c r="AY91" s="2">
        <f t="shared" si="153"/>
        <v>-689635852.67194152</v>
      </c>
      <c r="AZ91" s="2">
        <f t="shared" si="154"/>
        <v>-660662825.09916246</v>
      </c>
      <c r="BA91" s="2">
        <f t="shared" si="155"/>
        <v>-633102305.87062514</v>
      </c>
      <c r="BB91" s="2">
        <f t="shared" si="156"/>
        <v>-606993417.96955144</v>
      </c>
      <c r="BC91" s="2">
        <f t="shared" si="157"/>
        <v>-582359305.28550208</v>
      </c>
      <c r="BD91" s="2">
        <f t="shared" si="158"/>
        <v>-559206915.68819928</v>
      </c>
      <c r="BE91" s="2">
        <f t="shared" si="159"/>
        <v>-537526963.20091724</v>
      </c>
      <c r="BF91" s="2">
        <f t="shared" si="160"/>
        <v>-517294068.01358443</v>
      </c>
      <c r="BG91" s="2">
        <f t="shared" si="161"/>
        <v>-498467071.12941587</v>
      </c>
      <c r="BH91" s="2">
        <f t="shared" si="162"/>
        <v>-480989518.60071981</v>
      </c>
      <c r="BI91" s="2">
        <f t="shared" si="163"/>
        <v>-464790308.59624922</v>
      </c>
      <c r="BJ91" s="2">
        <f t="shared" si="164"/>
        <v>-449784492.96644408</v>
      </c>
      <c r="BK91" s="2">
        <f t="shared" si="165"/>
        <v>-435874223.54223347</v>
      </c>
      <c r="BL91" s="2">
        <f t="shared" si="166"/>
        <v>-422949832.12194687</v>
      </c>
      <c r="BM91" s="2">
        <f t="shared" si="167"/>
        <v>-410891031.97002226</v>
      </c>
      <c r="BN91" s="2">
        <f t="shared" si="168"/>
        <v>-399568227.66844106</v>
      </c>
      <c r="BO91" s="2">
        <f t="shared" si="169"/>
        <v>-388843919.32276779</v>
      </c>
      <c r="BP91" s="2">
        <f t="shared" si="170"/>
        <v>-378574186.42339492</v>
      </c>
      <c r="BQ91" s="2">
        <f t="shared" si="171"/>
        <v>-368610236.09235454</v>
      </c>
      <c r="BR91" s="2">
        <f t="shared" si="172"/>
        <v>-358800000</v>
      </c>
      <c r="BT91" s="16"/>
      <c r="BU91" s="37">
        <v>4.3333333333333335E-2</v>
      </c>
      <c r="BV91" s="2">
        <f t="shared" si="173"/>
        <v>0.40647188000710688</v>
      </c>
      <c r="BW91" s="2">
        <f t="shared" si="174"/>
        <v>0.40647188000710688</v>
      </c>
      <c r="BX91" s="2">
        <f t="shared" si="175"/>
        <v>0.40647188000710688</v>
      </c>
      <c r="BY91" s="2">
        <f t="shared" si="176"/>
        <v>0.40647188000710688</v>
      </c>
      <c r="BZ91" s="2">
        <f t="shared" si="177"/>
        <v>0.40647188000710688</v>
      </c>
      <c r="CA91" s="2">
        <f t="shared" si="178"/>
        <v>0.40647188000710688</v>
      </c>
      <c r="CB91" s="2">
        <f t="shared" si="179"/>
        <v>0.40647188000710688</v>
      </c>
      <c r="CC91" s="2">
        <f t="shared" si="180"/>
        <v>0.40647188000710688</v>
      </c>
      <c r="CD91" s="2">
        <f t="shared" si="181"/>
        <v>0.40647188000710688</v>
      </c>
      <c r="CE91" s="2">
        <f t="shared" si="182"/>
        <v>0.40647188000710688</v>
      </c>
      <c r="CF91" s="2">
        <f t="shared" si="183"/>
        <v>0.40647188000710688</v>
      </c>
      <c r="CG91" s="2">
        <f t="shared" si="184"/>
        <v>0.40647188000710688</v>
      </c>
      <c r="CH91" s="2">
        <f t="shared" si="185"/>
        <v>0.40647188000710688</v>
      </c>
      <c r="CI91" s="2">
        <f t="shared" si="186"/>
        <v>0.40647188000710688</v>
      </c>
      <c r="CJ91" s="2">
        <f t="shared" si="187"/>
        <v>0.40647188000710688</v>
      </c>
      <c r="CK91" s="2">
        <f t="shared" si="188"/>
        <v>0.40647188000710688</v>
      </c>
      <c r="CL91" s="2">
        <f t="shared" si="189"/>
        <v>0.40647188000710688</v>
      </c>
      <c r="CM91" s="2">
        <f t="shared" si="190"/>
        <v>0.40647188000710688</v>
      </c>
      <c r="CN91" s="2">
        <f t="shared" si="191"/>
        <v>0.40647188000710688</v>
      </c>
      <c r="CO91" s="2">
        <f t="shared" si="192"/>
        <v>0.40647188000710688</v>
      </c>
      <c r="CP91" s="2">
        <f t="shared" si="193"/>
        <v>0.40647188000710688</v>
      </c>
      <c r="CQ91" s="2">
        <f t="shared" si="194"/>
        <v>0.40647188000710688</v>
      </c>
      <c r="CR91" s="2">
        <f t="shared" si="195"/>
        <v>0.40647188000710688</v>
      </c>
      <c r="CS91" s="2">
        <f t="shared" si="196"/>
        <v>0.40647188000710688</v>
      </c>
      <c r="CT91" s="2">
        <f t="shared" si="197"/>
        <v>0.40647188000710688</v>
      </c>
      <c r="CU91" s="2">
        <f t="shared" si="198"/>
        <v>0.40647188000710688</v>
      </c>
      <c r="CV91" s="2">
        <f t="shared" si="199"/>
        <v>0.40647188000710688</v>
      </c>
      <c r="CW91" s="2">
        <f t="shared" si="200"/>
        <v>0.40647188000710688</v>
      </c>
      <c r="CX91" s="2">
        <f t="shared" si="201"/>
        <v>0.40647188000710688</v>
      </c>
      <c r="CY91" s="2">
        <f t="shared" si="202"/>
        <v>0.40647188000710688</v>
      </c>
      <c r="CZ91" s="2">
        <f t="shared" si="203"/>
        <v>0.40647188000710688</v>
      </c>
      <c r="DB91" s="16"/>
      <c r="DC91" s="37">
        <v>4.3333333333333335E-2</v>
      </c>
      <c r="DD91" s="2">
        <f t="shared" si="204"/>
        <v>178.05843599786795</v>
      </c>
      <c r="DE91" s="2">
        <f t="shared" si="205"/>
        <v>171.75869054737808</v>
      </c>
      <c r="DF91" s="2">
        <f t="shared" si="206"/>
        <v>165.48475932636867</v>
      </c>
      <c r="DG91" s="2">
        <f t="shared" si="207"/>
        <v>159.26216739379132</v>
      </c>
      <c r="DH91" s="2">
        <f t="shared" si="208"/>
        <v>153.11586491364815</v>
      </c>
      <c r="DI91" s="2">
        <f t="shared" si="209"/>
        <v>147.06994827282881</v>
      </c>
      <c r="DJ91" s="2">
        <f t="shared" si="210"/>
        <v>141.14739133851268</v>
      </c>
      <c r="DK91" s="2">
        <f t="shared" si="211"/>
        <v>135.3697900068743</v>
      </c>
      <c r="DL91" s="2">
        <f t="shared" si="212"/>
        <v>129.75712300563143</v>
      </c>
      <c r="DM91" s="2">
        <f t="shared" si="213"/>
        <v>124.32753168415736</v>
      </c>
      <c r="DN91" s="2">
        <f t="shared" si="214"/>
        <v>119.09712126117638</v>
      </c>
      <c r="DO91" s="2">
        <f t="shared" si="215"/>
        <v>114.07978570682087</v>
      </c>
      <c r="DP91" s="2">
        <f t="shared" si="216"/>
        <v>109.28705811881257</v>
      </c>
      <c r="DQ91" s="2">
        <f t="shared" si="217"/>
        <v>104.72798811776973</v>
      </c>
      <c r="DR91" s="2">
        <f t="shared" si="218"/>
        <v>100.40904744022527</v>
      </c>
      <c r="DS91" s="2">
        <f t="shared" si="219"/>
        <v>96.334064555872743</v>
      </c>
      <c r="DT91" s="2">
        <f t="shared" si="220"/>
        <v>92.504188783567798</v>
      </c>
      <c r="DU91" s="2">
        <f t="shared" si="221"/>
        <v>88.917884034038323</v>
      </c>
      <c r="DV91" s="2">
        <f t="shared" si="222"/>
        <v>85.570951970897042</v>
      </c>
      <c r="DW91" s="2">
        <f t="shared" si="223"/>
        <v>82.456584059589176</v>
      </c>
      <c r="DX91" s="2">
        <f t="shared" si="224"/>
        <v>79.565441669836119</v>
      </c>
      <c r="DY91" s="2">
        <f t="shared" si="225"/>
        <v>76.885763113725886</v>
      </c>
      <c r="DZ91" s="2">
        <f t="shared" si="226"/>
        <v>74.403496240894725</v>
      </c>
      <c r="EA91" s="2">
        <f t="shared" si="227"/>
        <v>72.102454975580798</v>
      </c>
      <c r="EB91" s="2">
        <f t="shared" si="228"/>
        <v>69.964497968408281</v>
      </c>
      <c r="EC91" s="2">
        <f t="shared" si="229"/>
        <v>67.969727348692047</v>
      </c>
      <c r="ED91" s="2">
        <f t="shared" si="230"/>
        <v>66.096705400485547</v>
      </c>
      <c r="EE91" s="2">
        <f t="shared" si="231"/>
        <v>64.322686846797822</v>
      </c>
      <c r="EF91" s="2">
        <f t="shared" si="232"/>
        <v>62.623864310400407</v>
      </c>
      <c r="EG91" s="2">
        <f t="shared" si="233"/>
        <v>60.975624425315409</v>
      </c>
      <c r="EH91" s="2">
        <f t="shared" si="234"/>
        <v>59.352811999289315</v>
      </c>
    </row>
    <row r="92" spans="5:138">
      <c r="E92" s="18"/>
      <c r="F92" s="37">
        <v>0.04</v>
      </c>
      <c r="G92" s="2">
        <f t="shared" si="139"/>
        <v>300</v>
      </c>
      <c r="H92" s="2">
        <f t="shared" si="235"/>
        <v>289.38593600154059</v>
      </c>
      <c r="I92" s="2">
        <f t="shared" si="236"/>
        <v>278.81536485305901</v>
      </c>
      <c r="J92" s="2">
        <f t="shared" si="237"/>
        <v>268.33129219841902</v>
      </c>
      <c r="K92" s="2">
        <f t="shared" si="238"/>
        <v>257.97575507539818</v>
      </c>
      <c r="L92" s="2">
        <f t="shared" si="239"/>
        <v>247.78935204382532</v>
      </c>
      <c r="M92" s="2">
        <f t="shared" si="240"/>
        <v>237.81079039726504</v>
      </c>
      <c r="N92" s="2">
        <f t="shared" si="241"/>
        <v>228.0764557684229</v>
      </c>
      <c r="O92" s="2">
        <f t="shared" si="242"/>
        <v>218.62000911967766</v>
      </c>
      <c r="P92" s="2">
        <f t="shared" si="243"/>
        <v>209.47201572462322</v>
      </c>
      <c r="Q92" s="2">
        <f t="shared" si="244"/>
        <v>200.65961030220851</v>
      </c>
      <c r="R92" s="2">
        <f t="shared" si="245"/>
        <v>192.20620197099822</v>
      </c>
      <c r="S92" s="2">
        <f t="shared" si="246"/>
        <v>184.13122215695722</v>
      </c>
      <c r="T92" s="2">
        <f t="shared" si="247"/>
        <v>176.44991802414302</v>
      </c>
      <c r="U92" s="2">
        <f t="shared" si="248"/>
        <v>169.17319341403331</v>
      </c>
      <c r="V92" s="2">
        <f t="shared" si="249"/>
        <v>162.30749868603738</v>
      </c>
      <c r="W92" s="2">
        <f t="shared" si="250"/>
        <v>155.85477025869548</v>
      </c>
      <c r="X92" s="2">
        <f t="shared" si="251"/>
        <v>149.8124200671453</v>
      </c>
      <c r="Y92" s="2">
        <f t="shared" si="252"/>
        <v>144.1733745857259</v>
      </c>
      <c r="Z92" s="2">
        <f t="shared" si="253"/>
        <v>138.92616252213378</v>
      </c>
      <c r="AA92" s="2">
        <f t="shared" si="254"/>
        <v>134.05504977723518</v>
      </c>
      <c r="AB92" s="2">
        <f t="shared" si="255"/>
        <v>129.54021978713749</v>
      </c>
      <c r="AC92" s="2">
        <f t="shared" si="256"/>
        <v>125.35799692487299</v>
      </c>
      <c r="AD92" s="2">
        <f t="shared" si="257"/>
        <v>121.48111024031036</v>
      </c>
      <c r="AE92" s="2">
        <f t="shared" si="258"/>
        <v>117.87899445985144</v>
      </c>
      <c r="AF92" s="2">
        <f t="shared" si="259"/>
        <v>114.51812485229161</v>
      </c>
      <c r="AG92" s="2">
        <f t="shared" si="260"/>
        <v>111.3623822933225</v>
      </c>
      <c r="AH92" s="2">
        <f t="shared" si="261"/>
        <v>108.37344462730429</v>
      </c>
      <c r="AI92" s="2">
        <f t="shared" si="262"/>
        <v>105.51120022948578</v>
      </c>
      <c r="AJ92" s="2">
        <f t="shared" si="263"/>
        <v>102.73417951291933</v>
      </c>
      <c r="AK92" s="2">
        <f t="shared" si="141"/>
        <v>100</v>
      </c>
      <c r="AL92" s="16"/>
      <c r="AM92" s="37">
        <v>0.04</v>
      </c>
      <c r="AN92" s="2">
        <f t="shared" si="142"/>
        <v>-1076400000</v>
      </c>
      <c r="AO92" s="2">
        <f t="shared" si="143"/>
        <v>-1038316738.3735276</v>
      </c>
      <c r="AP92" s="2">
        <f t="shared" si="144"/>
        <v>-1000389529.0927757</v>
      </c>
      <c r="AQ92" s="2">
        <f t="shared" si="145"/>
        <v>-962772676.40792727</v>
      </c>
      <c r="AR92" s="2">
        <f t="shared" si="146"/>
        <v>-925617009.21052873</v>
      </c>
      <c r="AS92" s="2">
        <f t="shared" si="147"/>
        <v>-889068195.13324523</v>
      </c>
      <c r="AT92" s="2">
        <f t="shared" si="148"/>
        <v>-853265115.94538689</v>
      </c>
      <c r="AU92" s="2">
        <f t="shared" si="149"/>
        <v>-818338323.29710126</v>
      </c>
      <c r="AV92" s="2">
        <f t="shared" si="150"/>
        <v>-784408592.72140336</v>
      </c>
      <c r="AW92" s="2">
        <f t="shared" si="151"/>
        <v>-751585592.41994798</v>
      </c>
      <c r="AX92" s="2">
        <f t="shared" si="152"/>
        <v>-719966681.76432407</v>
      </c>
      <c r="AY92" s="2">
        <f t="shared" si="153"/>
        <v>-689635852.67194152</v>
      </c>
      <c r="AZ92" s="2">
        <f t="shared" si="154"/>
        <v>-660662825.09916246</v>
      </c>
      <c r="BA92" s="2">
        <f t="shared" si="155"/>
        <v>-633102305.87062514</v>
      </c>
      <c r="BB92" s="2">
        <f t="shared" si="156"/>
        <v>-606993417.96955144</v>
      </c>
      <c r="BC92" s="2">
        <f t="shared" si="157"/>
        <v>-582359305.28550208</v>
      </c>
      <c r="BD92" s="2">
        <f t="shared" si="158"/>
        <v>-559206915.68819928</v>
      </c>
      <c r="BE92" s="2">
        <f t="shared" si="159"/>
        <v>-537526963.20091724</v>
      </c>
      <c r="BF92" s="2">
        <f t="shared" si="160"/>
        <v>-517294068.01358443</v>
      </c>
      <c r="BG92" s="2">
        <f t="shared" si="161"/>
        <v>-498467071.12941599</v>
      </c>
      <c r="BH92" s="2">
        <f t="shared" si="162"/>
        <v>-480989518.60071981</v>
      </c>
      <c r="BI92" s="2">
        <f t="shared" si="163"/>
        <v>-464790308.59624928</v>
      </c>
      <c r="BJ92" s="2">
        <f t="shared" si="164"/>
        <v>-449784492.96644419</v>
      </c>
      <c r="BK92" s="2">
        <f t="shared" si="165"/>
        <v>-435874223.54223359</v>
      </c>
      <c r="BL92" s="2">
        <f t="shared" si="166"/>
        <v>-422949832.12194699</v>
      </c>
      <c r="BM92" s="2">
        <f t="shared" si="167"/>
        <v>-410891031.97002238</v>
      </c>
      <c r="BN92" s="2">
        <f t="shared" si="168"/>
        <v>-399568227.66844112</v>
      </c>
      <c r="BO92" s="2">
        <f t="shared" si="169"/>
        <v>-388843919.32276779</v>
      </c>
      <c r="BP92" s="2">
        <f t="shared" si="170"/>
        <v>-378574186.42339492</v>
      </c>
      <c r="BQ92" s="2">
        <f t="shared" si="171"/>
        <v>-368610236.09235454</v>
      </c>
      <c r="BR92" s="2">
        <f t="shared" si="172"/>
        <v>-358800000</v>
      </c>
      <c r="BT92" s="16"/>
      <c r="BU92" s="37">
        <v>0.04</v>
      </c>
      <c r="BV92" s="2">
        <f t="shared" si="173"/>
        <v>0.40647188029542825</v>
      </c>
      <c r="BW92" s="2">
        <f t="shared" si="174"/>
        <v>0.40647188029542825</v>
      </c>
      <c r="BX92" s="2">
        <f t="shared" si="175"/>
        <v>0.40647188029542825</v>
      </c>
      <c r="BY92" s="2">
        <f t="shared" si="176"/>
        <v>0.40647188029542825</v>
      </c>
      <c r="BZ92" s="2">
        <f t="shared" si="177"/>
        <v>0.40647188029542825</v>
      </c>
      <c r="CA92" s="2">
        <f t="shared" si="178"/>
        <v>0.40647188029542825</v>
      </c>
      <c r="CB92" s="2">
        <f t="shared" si="179"/>
        <v>0.40647188029542825</v>
      </c>
      <c r="CC92" s="2">
        <f t="shared" si="180"/>
        <v>0.40647188029542825</v>
      </c>
      <c r="CD92" s="2">
        <f t="shared" si="181"/>
        <v>0.40647188029542825</v>
      </c>
      <c r="CE92" s="2">
        <f t="shared" si="182"/>
        <v>0.40647188029542825</v>
      </c>
      <c r="CF92" s="2">
        <f t="shared" si="183"/>
        <v>0.40647188029542825</v>
      </c>
      <c r="CG92" s="2">
        <f t="shared" si="184"/>
        <v>0.40647188029542825</v>
      </c>
      <c r="CH92" s="2">
        <f t="shared" si="185"/>
        <v>0.40647188029542825</v>
      </c>
      <c r="CI92" s="2">
        <f t="shared" si="186"/>
        <v>0.40647188029542825</v>
      </c>
      <c r="CJ92" s="2">
        <f t="shared" si="187"/>
        <v>0.40647188029542825</v>
      </c>
      <c r="CK92" s="2">
        <f t="shared" si="188"/>
        <v>0.40647188029542825</v>
      </c>
      <c r="CL92" s="2">
        <f t="shared" si="189"/>
        <v>0.40647188029542825</v>
      </c>
      <c r="CM92" s="2">
        <f t="shared" si="190"/>
        <v>0.40647188029542825</v>
      </c>
      <c r="CN92" s="2">
        <f t="shared" si="191"/>
        <v>0.40647188029542825</v>
      </c>
      <c r="CO92" s="2">
        <f t="shared" si="192"/>
        <v>0.40647188029542825</v>
      </c>
      <c r="CP92" s="2">
        <f t="shared" si="193"/>
        <v>0.40647188029542825</v>
      </c>
      <c r="CQ92" s="2">
        <f t="shared" si="194"/>
        <v>0.40647188029542825</v>
      </c>
      <c r="CR92" s="2">
        <f t="shared" si="195"/>
        <v>0.40647188029542825</v>
      </c>
      <c r="CS92" s="2">
        <f t="shared" si="196"/>
        <v>0.40647188029542825</v>
      </c>
      <c r="CT92" s="2">
        <f t="shared" si="197"/>
        <v>0.40647188029542825</v>
      </c>
      <c r="CU92" s="2">
        <f t="shared" si="198"/>
        <v>0.40647188029542825</v>
      </c>
      <c r="CV92" s="2">
        <f t="shared" si="199"/>
        <v>0.40647188029542825</v>
      </c>
      <c r="CW92" s="2">
        <f t="shared" si="200"/>
        <v>0.40647188029542825</v>
      </c>
      <c r="CX92" s="2">
        <f t="shared" si="201"/>
        <v>0.40647188029542825</v>
      </c>
      <c r="CY92" s="2">
        <f t="shared" si="202"/>
        <v>0.40647188029542825</v>
      </c>
      <c r="CZ92" s="2">
        <f t="shared" si="203"/>
        <v>0.40647188029542825</v>
      </c>
      <c r="DB92" s="16"/>
      <c r="DC92" s="37">
        <v>0.04</v>
      </c>
      <c r="DD92" s="2">
        <f t="shared" si="204"/>
        <v>178.05843591137156</v>
      </c>
      <c r="DE92" s="2">
        <f t="shared" si="205"/>
        <v>171.75869046394192</v>
      </c>
      <c r="DF92" s="2">
        <f t="shared" si="206"/>
        <v>165.48475924598026</v>
      </c>
      <c r="DG92" s="2">
        <f t="shared" si="207"/>
        <v>159.26216731642566</v>
      </c>
      <c r="DH92" s="2">
        <f t="shared" si="208"/>
        <v>153.11586483926823</v>
      </c>
      <c r="DI92" s="2">
        <f t="shared" si="209"/>
        <v>147.06994820138584</v>
      </c>
      <c r="DJ92" s="2">
        <f t="shared" si="210"/>
        <v>141.14739126994675</v>
      </c>
      <c r="DK92" s="2">
        <f t="shared" si="211"/>
        <v>135.36978994111499</v>
      </c>
      <c r="DL92" s="2">
        <f t="shared" si="212"/>
        <v>129.75712294259861</v>
      </c>
      <c r="DM92" s="2">
        <f t="shared" si="213"/>
        <v>124.32753162376211</v>
      </c>
      <c r="DN92" s="2">
        <f t="shared" si="214"/>
        <v>119.09712120332195</v>
      </c>
      <c r="DO92" s="2">
        <f t="shared" si="215"/>
        <v>114.07978565140374</v>
      </c>
      <c r="DP92" s="2">
        <f t="shared" si="216"/>
        <v>109.2870580657236</v>
      </c>
      <c r="DQ92" s="2">
        <f t="shared" si="217"/>
        <v>104.72798806689543</v>
      </c>
      <c r="DR92" s="2">
        <f t="shared" si="218"/>
        <v>100.40904739144904</v>
      </c>
      <c r="DS92" s="2">
        <f t="shared" si="219"/>
        <v>96.334064509076029</v>
      </c>
      <c r="DT92" s="2">
        <f t="shared" si="220"/>
        <v>92.504188738631555</v>
      </c>
      <c r="DU92" s="2">
        <f t="shared" si="221"/>
        <v>88.917883990844203</v>
      </c>
      <c r="DV92" s="2">
        <f t="shared" si="222"/>
        <v>85.570951929328785</v>
      </c>
      <c r="DW92" s="2">
        <f t="shared" si="223"/>
        <v>82.456584019533807</v>
      </c>
      <c r="DX92" s="2">
        <f t="shared" si="224"/>
        <v>79.56544163118518</v>
      </c>
      <c r="DY92" s="2">
        <f t="shared" si="225"/>
        <v>76.885763076376676</v>
      </c>
      <c r="DZ92" s="2">
        <f t="shared" si="226"/>
        <v>74.403496204751363</v>
      </c>
      <c r="EA92" s="2">
        <f t="shared" si="227"/>
        <v>72.102454940555219</v>
      </c>
      <c r="EB92" s="2">
        <f t="shared" si="228"/>
        <v>69.96449793442126</v>
      </c>
      <c r="EC92" s="2">
        <f t="shared" si="229"/>
        <v>67.969727315674035</v>
      </c>
      <c r="ED92" s="2">
        <f t="shared" si="230"/>
        <v>66.0967053683774</v>
      </c>
      <c r="EE92" s="2">
        <f t="shared" si="231"/>
        <v>64.32268681555145</v>
      </c>
      <c r="EF92" s="2">
        <f t="shared" si="232"/>
        <v>62.62386427997928</v>
      </c>
      <c r="EG92" s="2">
        <f t="shared" si="233"/>
        <v>60.97562439569495</v>
      </c>
      <c r="EH92" s="2">
        <f t="shared" si="234"/>
        <v>59.352811970457175</v>
      </c>
    </row>
    <row r="93" spans="5:138">
      <c r="E93" s="18"/>
      <c r="F93" s="37">
        <v>3.6666666666666667E-2</v>
      </c>
      <c r="G93" s="2">
        <f t="shared" si="139"/>
        <v>300</v>
      </c>
      <c r="H93" s="2">
        <f t="shared" si="235"/>
        <v>289.38593600154059</v>
      </c>
      <c r="I93" s="2">
        <f t="shared" si="236"/>
        <v>278.81536485305901</v>
      </c>
      <c r="J93" s="2">
        <f t="shared" si="237"/>
        <v>268.33129219841902</v>
      </c>
      <c r="K93" s="2">
        <f t="shared" si="238"/>
        <v>257.97575507539824</v>
      </c>
      <c r="L93" s="2">
        <f t="shared" si="239"/>
        <v>247.78935204382532</v>
      </c>
      <c r="M93" s="2">
        <f t="shared" si="240"/>
        <v>237.81079039726507</v>
      </c>
      <c r="N93" s="2">
        <f t="shared" si="241"/>
        <v>228.0764557684229</v>
      </c>
      <c r="O93" s="2">
        <f t="shared" si="242"/>
        <v>218.62000911967766</v>
      </c>
      <c r="P93" s="2">
        <f t="shared" si="243"/>
        <v>209.47201572462325</v>
      </c>
      <c r="Q93" s="2">
        <f t="shared" si="244"/>
        <v>200.65961030220853</v>
      </c>
      <c r="R93" s="2">
        <f t="shared" si="245"/>
        <v>192.20620197099822</v>
      </c>
      <c r="S93" s="2">
        <f t="shared" si="246"/>
        <v>184.13122215695722</v>
      </c>
      <c r="T93" s="2">
        <f t="shared" si="247"/>
        <v>176.44991802414305</v>
      </c>
      <c r="U93" s="2">
        <f t="shared" si="248"/>
        <v>169.17319341403334</v>
      </c>
      <c r="V93" s="2">
        <f t="shared" si="249"/>
        <v>162.30749868603743</v>
      </c>
      <c r="W93" s="2">
        <f t="shared" si="250"/>
        <v>155.85477025869551</v>
      </c>
      <c r="X93" s="2">
        <f t="shared" si="251"/>
        <v>149.8124200671453</v>
      </c>
      <c r="Y93" s="2">
        <f t="shared" si="252"/>
        <v>144.17337458572592</v>
      </c>
      <c r="Z93" s="2">
        <f t="shared" si="253"/>
        <v>138.92616252213381</v>
      </c>
      <c r="AA93" s="2">
        <f t="shared" si="254"/>
        <v>134.05504977723524</v>
      </c>
      <c r="AB93" s="2">
        <f t="shared" si="255"/>
        <v>129.54021978713752</v>
      </c>
      <c r="AC93" s="2">
        <f t="shared" si="256"/>
        <v>125.35799692487302</v>
      </c>
      <c r="AD93" s="2">
        <f t="shared" si="257"/>
        <v>121.48111024031039</v>
      </c>
      <c r="AE93" s="2">
        <f t="shared" si="258"/>
        <v>117.87899445985146</v>
      </c>
      <c r="AF93" s="2">
        <f t="shared" si="259"/>
        <v>114.51812485229162</v>
      </c>
      <c r="AG93" s="2">
        <f t="shared" si="260"/>
        <v>111.36238229332251</v>
      </c>
      <c r="AH93" s="2">
        <f t="shared" si="261"/>
        <v>108.37344462730431</v>
      </c>
      <c r="AI93" s="2">
        <f t="shared" si="262"/>
        <v>105.51120022948578</v>
      </c>
      <c r="AJ93" s="2">
        <f t="shared" si="263"/>
        <v>102.73417951291933</v>
      </c>
      <c r="AK93" s="2">
        <f t="shared" si="141"/>
        <v>100</v>
      </c>
      <c r="AL93" s="16"/>
      <c r="AM93" s="37">
        <v>3.6666666666666667E-2</v>
      </c>
      <c r="AN93" s="2">
        <f t="shared" si="142"/>
        <v>-1076400000</v>
      </c>
      <c r="AO93" s="2">
        <f t="shared" si="143"/>
        <v>-1038316738.3735276</v>
      </c>
      <c r="AP93" s="2">
        <f t="shared" si="144"/>
        <v>-1000389529.0927757</v>
      </c>
      <c r="AQ93" s="2">
        <f t="shared" si="145"/>
        <v>-962772676.40792727</v>
      </c>
      <c r="AR93" s="2">
        <f t="shared" si="146"/>
        <v>-925617009.21052873</v>
      </c>
      <c r="AS93" s="2">
        <f t="shared" si="147"/>
        <v>-889068195.13324523</v>
      </c>
      <c r="AT93" s="2">
        <f t="shared" si="148"/>
        <v>-853265115.94538689</v>
      </c>
      <c r="AU93" s="2">
        <f t="shared" si="149"/>
        <v>-818338323.29710126</v>
      </c>
      <c r="AV93" s="2">
        <f t="shared" si="150"/>
        <v>-784408592.72140336</v>
      </c>
      <c r="AW93" s="2">
        <f t="shared" si="151"/>
        <v>-751585592.41994798</v>
      </c>
      <c r="AX93" s="2">
        <f t="shared" si="152"/>
        <v>-719966681.76432407</v>
      </c>
      <c r="AY93" s="2">
        <f t="shared" si="153"/>
        <v>-689635852.67194164</v>
      </c>
      <c r="AZ93" s="2">
        <f t="shared" si="154"/>
        <v>-660662825.09916258</v>
      </c>
      <c r="BA93" s="2">
        <f t="shared" si="155"/>
        <v>-633102305.87062526</v>
      </c>
      <c r="BB93" s="2">
        <f t="shared" si="156"/>
        <v>-606993417.96955156</v>
      </c>
      <c r="BC93" s="2">
        <f t="shared" si="157"/>
        <v>-582359305.2855022</v>
      </c>
      <c r="BD93" s="2">
        <f t="shared" si="158"/>
        <v>-559206915.68819952</v>
      </c>
      <c r="BE93" s="2">
        <f t="shared" si="159"/>
        <v>-537526963.20091736</v>
      </c>
      <c r="BF93" s="2">
        <f t="shared" si="160"/>
        <v>-517294068.01358461</v>
      </c>
      <c r="BG93" s="2">
        <f t="shared" si="161"/>
        <v>-498467071.12941611</v>
      </c>
      <c r="BH93" s="2">
        <f t="shared" si="162"/>
        <v>-480989518.60072005</v>
      </c>
      <c r="BI93" s="2">
        <f t="shared" si="163"/>
        <v>-464790308.5962494</v>
      </c>
      <c r="BJ93" s="2">
        <f t="shared" si="164"/>
        <v>-449784492.96644437</v>
      </c>
      <c r="BK93" s="2">
        <f t="shared" si="165"/>
        <v>-435874223.54223365</v>
      </c>
      <c r="BL93" s="2">
        <f t="shared" si="166"/>
        <v>-422949832.12194699</v>
      </c>
      <c r="BM93" s="2">
        <f t="shared" si="167"/>
        <v>-410891031.97002238</v>
      </c>
      <c r="BN93" s="2">
        <f t="shared" si="168"/>
        <v>-399568227.66844112</v>
      </c>
      <c r="BO93" s="2">
        <f t="shared" si="169"/>
        <v>-388843919.32276785</v>
      </c>
      <c r="BP93" s="2">
        <f t="shared" si="170"/>
        <v>-378574186.42339498</v>
      </c>
      <c r="BQ93" s="2">
        <f t="shared" si="171"/>
        <v>-368610236.09235454</v>
      </c>
      <c r="BR93" s="2">
        <f t="shared" si="172"/>
        <v>-358800000</v>
      </c>
      <c r="BT93" s="16"/>
      <c r="BU93" s="37">
        <v>3.6666666666666667E-2</v>
      </c>
      <c r="BV93" s="2">
        <f t="shared" si="173"/>
        <v>0.40647188204051027</v>
      </c>
      <c r="BW93" s="2">
        <f t="shared" si="174"/>
        <v>0.40647188204051027</v>
      </c>
      <c r="BX93" s="2">
        <f t="shared" si="175"/>
        <v>0.40647188204051027</v>
      </c>
      <c r="BY93" s="2">
        <f t="shared" si="176"/>
        <v>0.40647188204051027</v>
      </c>
      <c r="BZ93" s="2">
        <f t="shared" si="177"/>
        <v>0.40647188204051027</v>
      </c>
      <c r="CA93" s="2">
        <f t="shared" si="178"/>
        <v>0.40647188204051027</v>
      </c>
      <c r="CB93" s="2">
        <f t="shared" si="179"/>
        <v>0.40647188204051027</v>
      </c>
      <c r="CC93" s="2">
        <f t="shared" si="180"/>
        <v>0.40647188204051027</v>
      </c>
      <c r="CD93" s="2">
        <f t="shared" si="181"/>
        <v>0.40647188204051027</v>
      </c>
      <c r="CE93" s="2">
        <f t="shared" si="182"/>
        <v>0.40647188204051027</v>
      </c>
      <c r="CF93" s="2">
        <f t="shared" si="183"/>
        <v>0.40647188204051027</v>
      </c>
      <c r="CG93" s="2">
        <f t="shared" si="184"/>
        <v>0.40647188204051027</v>
      </c>
      <c r="CH93" s="2">
        <f t="shared" si="185"/>
        <v>0.40647188204051027</v>
      </c>
      <c r="CI93" s="2">
        <f t="shared" si="186"/>
        <v>0.40647188204051027</v>
      </c>
      <c r="CJ93" s="2">
        <f t="shared" si="187"/>
        <v>0.40647188204051027</v>
      </c>
      <c r="CK93" s="2">
        <f t="shared" si="188"/>
        <v>0.40647188204051027</v>
      </c>
      <c r="CL93" s="2">
        <f t="shared" si="189"/>
        <v>0.40647188204051027</v>
      </c>
      <c r="CM93" s="2">
        <f t="shared" si="190"/>
        <v>0.40647188204051027</v>
      </c>
      <c r="CN93" s="2">
        <f t="shared" si="191"/>
        <v>0.40647188204051027</v>
      </c>
      <c r="CO93" s="2">
        <f t="shared" si="192"/>
        <v>0.40647188204051027</v>
      </c>
      <c r="CP93" s="2">
        <f t="shared" si="193"/>
        <v>0.40647188204051027</v>
      </c>
      <c r="CQ93" s="2">
        <f t="shared" si="194"/>
        <v>0.40647188204051027</v>
      </c>
      <c r="CR93" s="2">
        <f t="shared" si="195"/>
        <v>0.40647188204051027</v>
      </c>
      <c r="CS93" s="2">
        <f t="shared" si="196"/>
        <v>0.40647188204051027</v>
      </c>
      <c r="CT93" s="2">
        <f t="shared" si="197"/>
        <v>0.40647188204051027</v>
      </c>
      <c r="CU93" s="2">
        <f t="shared" si="198"/>
        <v>0.40647188204051027</v>
      </c>
      <c r="CV93" s="2">
        <f t="shared" si="199"/>
        <v>0.40647188204051027</v>
      </c>
      <c r="CW93" s="2">
        <f t="shared" si="200"/>
        <v>0.40647188204051027</v>
      </c>
      <c r="CX93" s="2">
        <f t="shared" si="201"/>
        <v>0.40647188204051027</v>
      </c>
      <c r="CY93" s="2">
        <f t="shared" si="202"/>
        <v>0.40647188204051027</v>
      </c>
      <c r="CZ93" s="2">
        <f t="shared" si="203"/>
        <v>0.40647188204051027</v>
      </c>
      <c r="DB93" s="16"/>
      <c r="DC93" s="37">
        <v>3.6666666666666667E-2</v>
      </c>
      <c r="DD93" s="2">
        <f t="shared" si="204"/>
        <v>178.05843538784694</v>
      </c>
      <c r="DE93" s="2">
        <f t="shared" si="205"/>
        <v>171.75868995893973</v>
      </c>
      <c r="DF93" s="2">
        <f t="shared" si="206"/>
        <v>165.48475875942458</v>
      </c>
      <c r="DG93" s="2">
        <f t="shared" si="207"/>
        <v>159.26216684816555</v>
      </c>
      <c r="DH93" s="2">
        <f t="shared" si="208"/>
        <v>153.11586438907941</v>
      </c>
      <c r="DI93" s="2">
        <f t="shared" si="209"/>
        <v>147.06994776897309</v>
      </c>
      <c r="DJ93" s="2">
        <f t="shared" si="210"/>
        <v>141.14739085494745</v>
      </c>
      <c r="DK93" s="2">
        <f t="shared" si="211"/>
        <v>135.36978954310285</v>
      </c>
      <c r="DL93" s="2">
        <f t="shared" si="212"/>
        <v>129.75712256108878</v>
      </c>
      <c r="DM93" s="2">
        <f t="shared" si="213"/>
        <v>124.32753125821627</v>
      </c>
      <c r="DN93" s="2">
        <f t="shared" si="214"/>
        <v>119.09712085315446</v>
      </c>
      <c r="DO93" s="2">
        <f t="shared" si="215"/>
        <v>114.07978531598816</v>
      </c>
      <c r="DP93" s="2">
        <f t="shared" si="216"/>
        <v>109.28705774439953</v>
      </c>
      <c r="DQ93" s="2">
        <f t="shared" si="217"/>
        <v>104.72798775897587</v>
      </c>
      <c r="DR93" s="2">
        <f t="shared" si="218"/>
        <v>100.40904709622795</v>
      </c>
      <c r="DS93" s="2">
        <f t="shared" si="219"/>
        <v>96.334064225836158</v>
      </c>
      <c r="DT93" s="2">
        <f t="shared" si="220"/>
        <v>92.504188466652224</v>
      </c>
      <c r="DU93" s="2">
        <f t="shared" si="221"/>
        <v>88.917883729409255</v>
      </c>
      <c r="DV93" s="2">
        <f t="shared" si="222"/>
        <v>85.570951677734442</v>
      </c>
      <c r="DW93" s="2">
        <f t="shared" si="223"/>
        <v>82.456583777096284</v>
      </c>
      <c r="DX93" s="2">
        <f t="shared" si="224"/>
        <v>79.565441397248151</v>
      </c>
      <c r="DY93" s="2">
        <f t="shared" si="225"/>
        <v>76.885762850318386</v>
      </c>
      <c r="DZ93" s="2">
        <f t="shared" si="226"/>
        <v>74.403495985991398</v>
      </c>
      <c r="EA93" s="2">
        <f t="shared" si="227"/>
        <v>72.10245472856073</v>
      </c>
      <c r="EB93" s="2">
        <f t="shared" si="228"/>
        <v>69.964497728712757</v>
      </c>
      <c r="EC93" s="2">
        <f t="shared" si="229"/>
        <v>67.969727115830523</v>
      </c>
      <c r="ED93" s="2">
        <f t="shared" si="230"/>
        <v>66.09670517404092</v>
      </c>
      <c r="EE93" s="2">
        <f t="shared" si="231"/>
        <v>64.322686626430908</v>
      </c>
      <c r="EF93" s="2">
        <f t="shared" si="232"/>
        <v>62.623864095853584</v>
      </c>
      <c r="EG93" s="2">
        <f t="shared" si="233"/>
        <v>60.975624216415383</v>
      </c>
      <c r="EH93" s="2">
        <f t="shared" si="234"/>
        <v>59.35281179594898</v>
      </c>
    </row>
    <row r="94" spans="5:138">
      <c r="E94" s="18"/>
      <c r="F94" s="37">
        <v>3.3333333333333333E-2</v>
      </c>
      <c r="G94" s="2">
        <f t="shared" si="139"/>
        <v>300</v>
      </c>
      <c r="H94" s="2">
        <f t="shared" si="235"/>
        <v>289.38593600154059</v>
      </c>
      <c r="I94" s="2">
        <f t="shared" si="236"/>
        <v>278.81536485305901</v>
      </c>
      <c r="J94" s="2">
        <f t="shared" si="237"/>
        <v>268.33129219841902</v>
      </c>
      <c r="K94" s="2">
        <f t="shared" si="238"/>
        <v>257.97575507539818</v>
      </c>
      <c r="L94" s="2">
        <f t="shared" si="239"/>
        <v>247.78935204382532</v>
      </c>
      <c r="M94" s="2">
        <f t="shared" si="240"/>
        <v>237.81079039726507</v>
      </c>
      <c r="N94" s="2">
        <f t="shared" si="241"/>
        <v>228.0764557684229</v>
      </c>
      <c r="O94" s="2">
        <f t="shared" si="242"/>
        <v>218.62000911967766</v>
      </c>
      <c r="P94" s="2">
        <f t="shared" si="243"/>
        <v>209.47201572462325</v>
      </c>
      <c r="Q94" s="2">
        <f t="shared" si="244"/>
        <v>200.65961030220853</v>
      </c>
      <c r="R94" s="2">
        <f t="shared" si="245"/>
        <v>192.20620197099822</v>
      </c>
      <c r="S94" s="2">
        <f t="shared" si="246"/>
        <v>184.13122215695722</v>
      </c>
      <c r="T94" s="2">
        <f t="shared" si="247"/>
        <v>176.44991802414307</v>
      </c>
      <c r="U94" s="2">
        <f t="shared" si="248"/>
        <v>169.17319341403334</v>
      </c>
      <c r="V94" s="2">
        <f t="shared" si="249"/>
        <v>162.30749868603743</v>
      </c>
      <c r="W94" s="2">
        <f t="shared" si="250"/>
        <v>155.85477025869551</v>
      </c>
      <c r="X94" s="2">
        <f t="shared" si="251"/>
        <v>149.8124200671453</v>
      </c>
      <c r="Y94" s="2">
        <f t="shared" si="252"/>
        <v>144.17337458572592</v>
      </c>
      <c r="Z94" s="2">
        <f t="shared" si="253"/>
        <v>138.92616252213381</v>
      </c>
      <c r="AA94" s="2">
        <f t="shared" si="254"/>
        <v>134.05504977723524</v>
      </c>
      <c r="AB94" s="2">
        <f t="shared" si="255"/>
        <v>129.54021978713752</v>
      </c>
      <c r="AC94" s="2">
        <f t="shared" si="256"/>
        <v>125.35799692487302</v>
      </c>
      <c r="AD94" s="2">
        <f t="shared" si="257"/>
        <v>121.48111024031039</v>
      </c>
      <c r="AE94" s="2">
        <f t="shared" si="258"/>
        <v>117.87899445985146</v>
      </c>
      <c r="AF94" s="2">
        <f t="shared" si="259"/>
        <v>114.51812485229163</v>
      </c>
      <c r="AG94" s="2">
        <f t="shared" si="260"/>
        <v>111.36238229332253</v>
      </c>
      <c r="AH94" s="2">
        <f t="shared" si="261"/>
        <v>108.37344462730431</v>
      </c>
      <c r="AI94" s="2">
        <f t="shared" si="262"/>
        <v>105.51120022948578</v>
      </c>
      <c r="AJ94" s="2">
        <f t="shared" si="263"/>
        <v>102.73417951291933</v>
      </c>
      <c r="AK94" s="2">
        <f t="shared" si="141"/>
        <v>100</v>
      </c>
      <c r="AL94" s="16"/>
      <c r="AM94" s="37">
        <v>3.3333333333333333E-2</v>
      </c>
      <c r="AN94" s="2">
        <f t="shared" si="142"/>
        <v>-1076400000</v>
      </c>
      <c r="AO94" s="2">
        <f t="shared" si="143"/>
        <v>-1038316738.3735276</v>
      </c>
      <c r="AP94" s="2">
        <f t="shared" si="144"/>
        <v>-1000389529.0927757</v>
      </c>
      <c r="AQ94" s="2">
        <f t="shared" si="145"/>
        <v>-962772676.40792727</v>
      </c>
      <c r="AR94" s="2">
        <f t="shared" si="146"/>
        <v>-925617009.21052873</v>
      </c>
      <c r="AS94" s="2">
        <f t="shared" si="147"/>
        <v>-889068195.13324523</v>
      </c>
      <c r="AT94" s="2">
        <f t="shared" si="148"/>
        <v>-853265115.94538689</v>
      </c>
      <c r="AU94" s="2">
        <f t="shared" si="149"/>
        <v>-818338323.29710126</v>
      </c>
      <c r="AV94" s="2">
        <f t="shared" si="150"/>
        <v>-784408592.72140336</v>
      </c>
      <c r="AW94" s="2">
        <f t="shared" si="151"/>
        <v>-751585592.41994798</v>
      </c>
      <c r="AX94" s="2">
        <f t="shared" si="152"/>
        <v>-719966681.76432407</v>
      </c>
      <c r="AY94" s="2">
        <f t="shared" si="153"/>
        <v>-689635852.67194164</v>
      </c>
      <c r="AZ94" s="2">
        <f t="shared" si="154"/>
        <v>-660662825.09916258</v>
      </c>
      <c r="BA94" s="2">
        <f t="shared" si="155"/>
        <v>-633102305.87062526</v>
      </c>
      <c r="BB94" s="2">
        <f t="shared" si="156"/>
        <v>-606993417.96955156</v>
      </c>
      <c r="BC94" s="2">
        <f t="shared" si="157"/>
        <v>-582359305.2855022</v>
      </c>
      <c r="BD94" s="2">
        <f t="shared" si="158"/>
        <v>-559206915.68819952</v>
      </c>
      <c r="BE94" s="2">
        <f t="shared" si="159"/>
        <v>-537526963.20091736</v>
      </c>
      <c r="BF94" s="2">
        <f t="shared" si="160"/>
        <v>-517294068.01358461</v>
      </c>
      <c r="BG94" s="2">
        <f t="shared" si="161"/>
        <v>-498467071.12941611</v>
      </c>
      <c r="BH94" s="2">
        <f t="shared" si="162"/>
        <v>-480989518.60072005</v>
      </c>
      <c r="BI94" s="2">
        <f t="shared" si="163"/>
        <v>-464790308.5962494</v>
      </c>
      <c r="BJ94" s="2">
        <f t="shared" si="164"/>
        <v>-449784492.96644437</v>
      </c>
      <c r="BK94" s="2">
        <f t="shared" si="165"/>
        <v>-435874223.54223365</v>
      </c>
      <c r="BL94" s="2">
        <f t="shared" si="166"/>
        <v>-422949832.12194699</v>
      </c>
      <c r="BM94" s="2">
        <f t="shared" si="167"/>
        <v>-410891031.97002238</v>
      </c>
      <c r="BN94" s="2">
        <f t="shared" si="168"/>
        <v>-399568227.66844112</v>
      </c>
      <c r="BO94" s="2">
        <f t="shared" si="169"/>
        <v>-388843919.32276785</v>
      </c>
      <c r="BP94" s="2">
        <f t="shared" si="170"/>
        <v>-378574186.42339498</v>
      </c>
      <c r="BQ94" s="2">
        <f t="shared" si="171"/>
        <v>-368610236.09235454</v>
      </c>
      <c r="BR94" s="2">
        <f t="shared" si="172"/>
        <v>-358800000</v>
      </c>
      <c r="BT94" s="16"/>
      <c r="BU94" s="37">
        <v>3.3333333333333333E-2</v>
      </c>
      <c r="BV94" s="2">
        <f t="shared" si="173"/>
        <v>0.40647189260272093</v>
      </c>
      <c r="BW94" s="2">
        <f t="shared" si="174"/>
        <v>0.40647189260272093</v>
      </c>
      <c r="BX94" s="2">
        <f t="shared" si="175"/>
        <v>0.40647189260272093</v>
      </c>
      <c r="BY94" s="2">
        <f t="shared" si="176"/>
        <v>0.40647189260272093</v>
      </c>
      <c r="BZ94" s="2">
        <f t="shared" si="177"/>
        <v>0.40647189260272093</v>
      </c>
      <c r="CA94" s="2">
        <f t="shared" si="178"/>
        <v>0.40647189260272093</v>
      </c>
      <c r="CB94" s="2">
        <f t="shared" si="179"/>
        <v>0.40647189260272093</v>
      </c>
      <c r="CC94" s="2">
        <f t="shared" si="180"/>
        <v>0.40647189260272093</v>
      </c>
      <c r="CD94" s="2">
        <f t="shared" si="181"/>
        <v>0.40647189260272093</v>
      </c>
      <c r="CE94" s="2">
        <f t="shared" si="182"/>
        <v>0.40647189260272093</v>
      </c>
      <c r="CF94" s="2">
        <f t="shared" si="183"/>
        <v>0.40647189260272093</v>
      </c>
      <c r="CG94" s="2">
        <f t="shared" si="184"/>
        <v>0.40647189260272093</v>
      </c>
      <c r="CH94" s="2">
        <f t="shared" si="185"/>
        <v>0.40647189260272093</v>
      </c>
      <c r="CI94" s="2">
        <f t="shared" si="186"/>
        <v>0.40647189260272093</v>
      </c>
      <c r="CJ94" s="2">
        <f t="shared" si="187"/>
        <v>0.40647189260272093</v>
      </c>
      <c r="CK94" s="2">
        <f t="shared" si="188"/>
        <v>0.40647189260272093</v>
      </c>
      <c r="CL94" s="2">
        <f t="shared" si="189"/>
        <v>0.40647189260272093</v>
      </c>
      <c r="CM94" s="2">
        <f t="shared" si="190"/>
        <v>0.40647189260272093</v>
      </c>
      <c r="CN94" s="2">
        <f t="shared" si="191"/>
        <v>0.40647189260272093</v>
      </c>
      <c r="CO94" s="2">
        <f t="shared" si="192"/>
        <v>0.40647189260272093</v>
      </c>
      <c r="CP94" s="2">
        <f t="shared" si="193"/>
        <v>0.40647189260272093</v>
      </c>
      <c r="CQ94" s="2">
        <f t="shared" si="194"/>
        <v>0.40647189260272093</v>
      </c>
      <c r="CR94" s="2">
        <f t="shared" si="195"/>
        <v>0.40647189260272093</v>
      </c>
      <c r="CS94" s="2">
        <f t="shared" si="196"/>
        <v>0.40647189260272093</v>
      </c>
      <c r="CT94" s="2">
        <f t="shared" si="197"/>
        <v>0.40647189260272093</v>
      </c>
      <c r="CU94" s="2">
        <f t="shared" si="198"/>
        <v>0.40647189260272093</v>
      </c>
      <c r="CV94" s="2">
        <f t="shared" si="199"/>
        <v>0.40647189260272093</v>
      </c>
      <c r="CW94" s="2">
        <f t="shared" si="200"/>
        <v>0.40647189260272093</v>
      </c>
      <c r="CX94" s="2">
        <f t="shared" si="201"/>
        <v>0.40647189260272093</v>
      </c>
      <c r="CY94" s="2">
        <f t="shared" si="202"/>
        <v>0.40647189260272093</v>
      </c>
      <c r="CZ94" s="2">
        <f t="shared" si="203"/>
        <v>0.40647189260272093</v>
      </c>
      <c r="DB94" s="16"/>
      <c r="DC94" s="37">
        <v>3.3333333333333333E-2</v>
      </c>
      <c r="DD94" s="2">
        <f t="shared" si="204"/>
        <v>178.05843221918371</v>
      </c>
      <c r="DE94" s="2">
        <f t="shared" si="205"/>
        <v>171.75868690238451</v>
      </c>
      <c r="DF94" s="2">
        <f t="shared" si="206"/>
        <v>165.48475581451794</v>
      </c>
      <c r="DG94" s="2">
        <f t="shared" si="207"/>
        <v>159.2621640139939</v>
      </c>
      <c r="DH94" s="2">
        <f t="shared" si="208"/>
        <v>153.11586166428509</v>
      </c>
      <c r="DI94" s="2">
        <f t="shared" si="209"/>
        <v>147.06994515176976</v>
      </c>
      <c r="DJ94" s="2">
        <f t="shared" si="210"/>
        <v>141.14738834313977</v>
      </c>
      <c r="DK94" s="2">
        <f t="shared" si="211"/>
        <v>135.36978713411128</v>
      </c>
      <c r="DL94" s="2">
        <f t="shared" si="212"/>
        <v>129.75712025197817</v>
      </c>
      <c r="DM94" s="2">
        <f t="shared" si="213"/>
        <v>124.3275290457287</v>
      </c>
      <c r="DN94" s="2">
        <f t="shared" si="214"/>
        <v>119.09711873374538</v>
      </c>
      <c r="DO94" s="2">
        <f t="shared" si="215"/>
        <v>114.07978328586576</v>
      </c>
      <c r="DP94" s="2">
        <f t="shared" si="216"/>
        <v>109.28705579956677</v>
      </c>
      <c r="DQ94" s="2">
        <f t="shared" si="217"/>
        <v>104.72798589527467</v>
      </c>
      <c r="DR94" s="2">
        <f t="shared" si="218"/>
        <v>100.40904530938504</v>
      </c>
      <c r="DS94" s="2">
        <f t="shared" si="219"/>
        <v>96.334062511510155</v>
      </c>
      <c r="DT94" s="2">
        <f t="shared" si="220"/>
        <v>92.504186820481294</v>
      </c>
      <c r="DU94" s="2">
        <f t="shared" si="221"/>
        <v>88.917882147058904</v>
      </c>
      <c r="DV94" s="2">
        <f t="shared" si="222"/>
        <v>85.570950154944882</v>
      </c>
      <c r="DW94" s="2">
        <f t="shared" si="223"/>
        <v>82.456582309728887</v>
      </c>
      <c r="DX94" s="2">
        <f t="shared" si="224"/>
        <v>79.565439981330471</v>
      </c>
      <c r="DY94" s="2">
        <f t="shared" si="225"/>
        <v>76.88576148208729</v>
      </c>
      <c r="DZ94" s="2">
        <f t="shared" si="226"/>
        <v>74.40349466193382</v>
      </c>
      <c r="EA94" s="2">
        <f t="shared" si="227"/>
        <v>72.102453445451644</v>
      </c>
      <c r="EB94" s="2">
        <f t="shared" si="228"/>
        <v>69.964496483649981</v>
      </c>
      <c r="EC94" s="2">
        <f t="shared" si="229"/>
        <v>67.969725906265978</v>
      </c>
      <c r="ED94" s="2">
        <f t="shared" si="230"/>
        <v>66.096703997807978</v>
      </c>
      <c r="EE94" s="2">
        <f t="shared" si="231"/>
        <v>64.322685481767749</v>
      </c>
      <c r="EF94" s="2">
        <f t="shared" si="232"/>
        <v>62.62386298142205</v>
      </c>
      <c r="EG94" s="2">
        <f t="shared" si="233"/>
        <v>60.975623131315331</v>
      </c>
      <c r="EH94" s="2">
        <f t="shared" si="234"/>
        <v>59.352810739727914</v>
      </c>
    </row>
    <row r="95" spans="5:138">
      <c r="E95" s="18"/>
      <c r="F95" s="37">
        <v>3.0000000000000002E-2</v>
      </c>
      <c r="G95" s="2">
        <f t="shared" si="139"/>
        <v>300</v>
      </c>
      <c r="H95" s="2">
        <f t="shared" si="235"/>
        <v>289.38593600154064</v>
      </c>
      <c r="I95" s="2">
        <f t="shared" si="236"/>
        <v>278.81536485305901</v>
      </c>
      <c r="J95" s="2">
        <f t="shared" si="237"/>
        <v>268.33129219841902</v>
      </c>
      <c r="K95" s="2">
        <f t="shared" si="238"/>
        <v>257.97575507539818</v>
      </c>
      <c r="L95" s="2">
        <f t="shared" si="239"/>
        <v>247.78935204382535</v>
      </c>
      <c r="M95" s="2">
        <f t="shared" si="240"/>
        <v>237.81079039726507</v>
      </c>
      <c r="N95" s="2">
        <f t="shared" si="241"/>
        <v>228.07645576842293</v>
      </c>
      <c r="O95" s="2">
        <f t="shared" si="242"/>
        <v>218.62000911967769</v>
      </c>
      <c r="P95" s="2">
        <f t="shared" si="243"/>
        <v>209.47201572462325</v>
      </c>
      <c r="Q95" s="2">
        <f t="shared" si="244"/>
        <v>200.65961030220853</v>
      </c>
      <c r="R95" s="2">
        <f t="shared" si="245"/>
        <v>192.20620197099825</v>
      </c>
      <c r="S95" s="2">
        <f t="shared" si="246"/>
        <v>184.13122215695728</v>
      </c>
      <c r="T95" s="2">
        <f t="shared" si="247"/>
        <v>176.44991802414307</v>
      </c>
      <c r="U95" s="2">
        <f t="shared" si="248"/>
        <v>169.17319341403334</v>
      </c>
      <c r="V95" s="2">
        <f t="shared" si="249"/>
        <v>162.30749868603743</v>
      </c>
      <c r="W95" s="2">
        <f t="shared" si="250"/>
        <v>155.85477025869554</v>
      </c>
      <c r="X95" s="2">
        <f t="shared" si="251"/>
        <v>149.81242006714533</v>
      </c>
      <c r="Y95" s="2">
        <f t="shared" si="252"/>
        <v>144.17337458572592</v>
      </c>
      <c r="Z95" s="2">
        <f t="shared" si="253"/>
        <v>138.92616252213384</v>
      </c>
      <c r="AA95" s="2">
        <f t="shared" si="254"/>
        <v>134.05504977723524</v>
      </c>
      <c r="AB95" s="2">
        <f t="shared" si="255"/>
        <v>129.54021978713752</v>
      </c>
      <c r="AC95" s="2">
        <f t="shared" si="256"/>
        <v>125.35799692487304</v>
      </c>
      <c r="AD95" s="2">
        <f t="shared" si="257"/>
        <v>121.4811102403104</v>
      </c>
      <c r="AE95" s="2">
        <f t="shared" si="258"/>
        <v>117.87899445985147</v>
      </c>
      <c r="AF95" s="2">
        <f t="shared" si="259"/>
        <v>114.51812485229166</v>
      </c>
      <c r="AG95" s="2">
        <f t="shared" si="260"/>
        <v>111.36238229332253</v>
      </c>
      <c r="AH95" s="2">
        <f t="shared" si="261"/>
        <v>108.37344462730431</v>
      </c>
      <c r="AI95" s="2">
        <f t="shared" si="262"/>
        <v>105.51120022948579</v>
      </c>
      <c r="AJ95" s="2">
        <f t="shared" si="263"/>
        <v>102.73417951291933</v>
      </c>
      <c r="AK95" s="2">
        <f t="shared" si="141"/>
        <v>100</v>
      </c>
      <c r="AL95" s="16"/>
      <c r="AM95" s="37">
        <v>3.0000000000000002E-2</v>
      </c>
      <c r="AN95" s="2">
        <f t="shared" si="142"/>
        <v>-1076400000</v>
      </c>
      <c r="AO95" s="2">
        <f t="shared" si="143"/>
        <v>-1038316738.3735276</v>
      </c>
      <c r="AP95" s="2">
        <f t="shared" si="144"/>
        <v>-1000389529.0927757</v>
      </c>
      <c r="AQ95" s="2">
        <f t="shared" si="145"/>
        <v>-962772676.40792727</v>
      </c>
      <c r="AR95" s="2">
        <f t="shared" si="146"/>
        <v>-925617009.21052873</v>
      </c>
      <c r="AS95" s="2">
        <f t="shared" si="147"/>
        <v>-889068195.13324523</v>
      </c>
      <c r="AT95" s="2">
        <f t="shared" si="148"/>
        <v>-853265115.94538689</v>
      </c>
      <c r="AU95" s="2">
        <f t="shared" si="149"/>
        <v>-818338323.29710126</v>
      </c>
      <c r="AV95" s="2">
        <f t="shared" si="150"/>
        <v>-784408592.72140336</v>
      </c>
      <c r="AW95" s="2">
        <f t="shared" si="151"/>
        <v>-751585592.41994798</v>
      </c>
      <c r="AX95" s="2">
        <f t="shared" si="152"/>
        <v>-719966681.76432407</v>
      </c>
      <c r="AY95" s="2">
        <f t="shared" si="153"/>
        <v>-689635852.67194164</v>
      </c>
      <c r="AZ95" s="2">
        <f t="shared" si="154"/>
        <v>-660662825.0991627</v>
      </c>
      <c r="BA95" s="2">
        <f t="shared" si="155"/>
        <v>-633102305.87062538</v>
      </c>
      <c r="BB95" s="2">
        <f t="shared" si="156"/>
        <v>-606993417.96955156</v>
      </c>
      <c r="BC95" s="2">
        <f t="shared" si="157"/>
        <v>-582359305.2855022</v>
      </c>
      <c r="BD95" s="2">
        <f t="shared" si="158"/>
        <v>-559206915.68819952</v>
      </c>
      <c r="BE95" s="2">
        <f t="shared" si="159"/>
        <v>-537526963.20091748</v>
      </c>
      <c r="BF95" s="2">
        <f t="shared" si="160"/>
        <v>-517294068.01358461</v>
      </c>
      <c r="BG95" s="2">
        <f t="shared" si="161"/>
        <v>-498467071.12941611</v>
      </c>
      <c r="BH95" s="2">
        <f t="shared" si="162"/>
        <v>-480989518.60072005</v>
      </c>
      <c r="BI95" s="2">
        <f t="shared" si="163"/>
        <v>-464790308.5962494</v>
      </c>
      <c r="BJ95" s="2">
        <f t="shared" si="164"/>
        <v>-449784492.96644437</v>
      </c>
      <c r="BK95" s="2">
        <f t="shared" si="165"/>
        <v>-435874223.54223371</v>
      </c>
      <c r="BL95" s="2">
        <f t="shared" si="166"/>
        <v>-422949832.12194705</v>
      </c>
      <c r="BM95" s="2">
        <f t="shared" si="167"/>
        <v>-410891031.9700225</v>
      </c>
      <c r="BN95" s="2">
        <f t="shared" si="168"/>
        <v>-399568227.66844124</v>
      </c>
      <c r="BO95" s="2">
        <f t="shared" si="169"/>
        <v>-388843919.32276785</v>
      </c>
      <c r="BP95" s="2">
        <f t="shared" si="170"/>
        <v>-378574186.42339498</v>
      </c>
      <c r="BQ95" s="2">
        <f t="shared" si="171"/>
        <v>-368610236.09235454</v>
      </c>
      <c r="BR95" s="2">
        <f t="shared" si="172"/>
        <v>-358800000</v>
      </c>
      <c r="BT95" s="16"/>
      <c r="BU95" s="37">
        <v>3.0000000000000002E-2</v>
      </c>
      <c r="BV95" s="2">
        <f t="shared" si="173"/>
        <v>0.40647195653111551</v>
      </c>
      <c r="BW95" s="2">
        <f t="shared" si="174"/>
        <v>0.40647195653111551</v>
      </c>
      <c r="BX95" s="2">
        <f t="shared" si="175"/>
        <v>0.40647195653111551</v>
      </c>
      <c r="BY95" s="2">
        <f t="shared" si="176"/>
        <v>0.40647195653111551</v>
      </c>
      <c r="BZ95" s="2">
        <f t="shared" si="177"/>
        <v>0.40647195653111551</v>
      </c>
      <c r="CA95" s="2">
        <f t="shared" si="178"/>
        <v>0.40647195653111551</v>
      </c>
      <c r="CB95" s="2">
        <f t="shared" si="179"/>
        <v>0.40647195653111551</v>
      </c>
      <c r="CC95" s="2">
        <f t="shared" si="180"/>
        <v>0.40647195653111551</v>
      </c>
      <c r="CD95" s="2">
        <f t="shared" si="181"/>
        <v>0.40647195653111551</v>
      </c>
      <c r="CE95" s="2">
        <f t="shared" si="182"/>
        <v>0.40647195653111551</v>
      </c>
      <c r="CF95" s="2">
        <f t="shared" si="183"/>
        <v>0.40647195653111551</v>
      </c>
      <c r="CG95" s="2">
        <f t="shared" si="184"/>
        <v>0.40647195653111551</v>
      </c>
      <c r="CH95" s="2">
        <f t="shared" si="185"/>
        <v>0.40647195653111551</v>
      </c>
      <c r="CI95" s="2">
        <f t="shared" si="186"/>
        <v>0.40647195653111551</v>
      </c>
      <c r="CJ95" s="2">
        <f t="shared" si="187"/>
        <v>0.40647195653111551</v>
      </c>
      <c r="CK95" s="2">
        <f t="shared" si="188"/>
        <v>0.40647195653111551</v>
      </c>
      <c r="CL95" s="2">
        <f t="shared" si="189"/>
        <v>0.40647195653111551</v>
      </c>
      <c r="CM95" s="2">
        <f t="shared" si="190"/>
        <v>0.40647195653111551</v>
      </c>
      <c r="CN95" s="2">
        <f t="shared" si="191"/>
        <v>0.40647195653111551</v>
      </c>
      <c r="CO95" s="2">
        <f t="shared" si="192"/>
        <v>0.40647195653111551</v>
      </c>
      <c r="CP95" s="2">
        <f t="shared" si="193"/>
        <v>0.40647195653111551</v>
      </c>
      <c r="CQ95" s="2">
        <f t="shared" si="194"/>
        <v>0.40647195653111551</v>
      </c>
      <c r="CR95" s="2">
        <f t="shared" si="195"/>
        <v>0.40647195653111551</v>
      </c>
      <c r="CS95" s="2">
        <f t="shared" si="196"/>
        <v>0.40647195653111551</v>
      </c>
      <c r="CT95" s="2">
        <f t="shared" si="197"/>
        <v>0.40647195653111551</v>
      </c>
      <c r="CU95" s="2">
        <f t="shared" si="198"/>
        <v>0.40647195653111551</v>
      </c>
      <c r="CV95" s="2">
        <f t="shared" si="199"/>
        <v>0.40647195653111551</v>
      </c>
      <c r="CW95" s="2">
        <f t="shared" si="200"/>
        <v>0.40647195653111551</v>
      </c>
      <c r="CX95" s="2">
        <f t="shared" si="201"/>
        <v>0.40647195653111551</v>
      </c>
      <c r="CY95" s="2">
        <f t="shared" si="202"/>
        <v>0.40647195653111551</v>
      </c>
      <c r="CZ95" s="2">
        <f t="shared" si="203"/>
        <v>0.40647195653111551</v>
      </c>
      <c r="DB95" s="16"/>
      <c r="DC95" s="37">
        <v>3.0000000000000002E-2</v>
      </c>
      <c r="DD95" s="2">
        <f t="shared" si="204"/>
        <v>178.05841304066536</v>
      </c>
      <c r="DE95" s="2">
        <f t="shared" si="205"/>
        <v>171.75866840240624</v>
      </c>
      <c r="DF95" s="2">
        <f t="shared" si="206"/>
        <v>165.48473799029929</v>
      </c>
      <c r="DG95" s="2">
        <f t="shared" si="207"/>
        <v>159.26214686000517</v>
      </c>
      <c r="DH95" s="2">
        <f t="shared" si="208"/>
        <v>153.11584517230926</v>
      </c>
      <c r="DI95" s="2">
        <f t="shared" si="209"/>
        <v>147.0699293109943</v>
      </c>
      <c r="DJ95" s="2">
        <f t="shared" si="210"/>
        <v>141.14737314027772</v>
      </c>
      <c r="DK95" s="2">
        <f t="shared" si="211"/>
        <v>135.36977255354964</v>
      </c>
      <c r="DL95" s="2">
        <f t="shared" si="212"/>
        <v>129.757106275952</v>
      </c>
      <c r="DM95" s="2">
        <f t="shared" si="213"/>
        <v>124.32751565451903</v>
      </c>
      <c r="DN95" s="2">
        <f t="shared" si="214"/>
        <v>119.09710590589863</v>
      </c>
      <c r="DO95" s="2">
        <f t="shared" si="215"/>
        <v>114.07977099843185</v>
      </c>
      <c r="DP95" s="2">
        <f t="shared" si="216"/>
        <v>109.28704402835339</v>
      </c>
      <c r="DQ95" s="2">
        <f t="shared" si="217"/>
        <v>104.7279746151147</v>
      </c>
      <c r="DR95" s="2">
        <f t="shared" si="218"/>
        <v>100.4090344944144</v>
      </c>
      <c r="DS95" s="2">
        <f t="shared" si="219"/>
        <v>96.334052135452339</v>
      </c>
      <c r="DT95" s="2">
        <f t="shared" si="220"/>
        <v>92.504176856936056</v>
      </c>
      <c r="DU95" s="2">
        <f t="shared" si="221"/>
        <v>88.917872569791427</v>
      </c>
      <c r="DV95" s="2">
        <f t="shared" si="222"/>
        <v>85.570940938172512</v>
      </c>
      <c r="DW95" s="2">
        <f t="shared" si="223"/>
        <v>82.456573428402365</v>
      </c>
      <c r="DX95" s="2">
        <f t="shared" si="224"/>
        <v>79.565431411406365</v>
      </c>
      <c r="DY95" s="2">
        <f t="shared" si="225"/>
        <v>76.885753200789011</v>
      </c>
      <c r="DZ95" s="2">
        <f t="shared" si="226"/>
        <v>74.403486647998335</v>
      </c>
      <c r="EA95" s="2">
        <f t="shared" si="227"/>
        <v>72.102445679359306</v>
      </c>
      <c r="EB95" s="2">
        <f t="shared" si="228"/>
        <v>69.964488947835122</v>
      </c>
      <c r="EC95" s="2">
        <f t="shared" si="229"/>
        <v>67.969718585306111</v>
      </c>
      <c r="ED95" s="2">
        <f t="shared" si="230"/>
        <v>66.096696878589668</v>
      </c>
      <c r="EE95" s="2">
        <f t="shared" si="231"/>
        <v>64.322678553627412</v>
      </c>
      <c r="EF95" s="2">
        <f t="shared" si="232"/>
        <v>62.623856236260423</v>
      </c>
      <c r="EG95" s="2">
        <f t="shared" si="233"/>
        <v>60.975616563684163</v>
      </c>
      <c r="EH95" s="2">
        <f t="shared" si="234"/>
        <v>59.352804346888455</v>
      </c>
    </row>
    <row r="96" spans="5:138">
      <c r="E96" s="18"/>
      <c r="F96" s="37">
        <v>2.6666666666666668E-2</v>
      </c>
      <c r="G96" s="2">
        <f t="shared" si="139"/>
        <v>300</v>
      </c>
      <c r="H96" s="2">
        <f t="shared" si="235"/>
        <v>289.38593600154059</v>
      </c>
      <c r="I96" s="2">
        <f t="shared" si="236"/>
        <v>278.81536485305907</v>
      </c>
      <c r="J96" s="2">
        <f t="shared" si="237"/>
        <v>268.33129219841902</v>
      </c>
      <c r="K96" s="2">
        <f t="shared" si="238"/>
        <v>257.97575507539824</v>
      </c>
      <c r="L96" s="2">
        <f t="shared" si="239"/>
        <v>247.78935204382537</v>
      </c>
      <c r="M96" s="2">
        <f t="shared" si="240"/>
        <v>237.81079039726507</v>
      </c>
      <c r="N96" s="2">
        <f t="shared" si="241"/>
        <v>228.07645576842293</v>
      </c>
      <c r="O96" s="2">
        <f t="shared" si="242"/>
        <v>218.62000911967772</v>
      </c>
      <c r="P96" s="2">
        <f t="shared" si="243"/>
        <v>209.47201572462328</v>
      </c>
      <c r="Q96" s="2">
        <f t="shared" si="244"/>
        <v>200.65961030220856</v>
      </c>
      <c r="R96" s="2">
        <f t="shared" si="245"/>
        <v>192.20620197099828</v>
      </c>
      <c r="S96" s="2">
        <f t="shared" si="246"/>
        <v>184.13122215695734</v>
      </c>
      <c r="T96" s="2">
        <f t="shared" si="247"/>
        <v>176.4499180241431</v>
      </c>
      <c r="U96" s="2">
        <f t="shared" si="248"/>
        <v>169.17319341403336</v>
      </c>
      <c r="V96" s="2">
        <f t="shared" si="249"/>
        <v>162.30749868603743</v>
      </c>
      <c r="W96" s="2">
        <f t="shared" si="250"/>
        <v>155.85477025869557</v>
      </c>
      <c r="X96" s="2">
        <f t="shared" si="251"/>
        <v>149.81242006714535</v>
      </c>
      <c r="Y96" s="2">
        <f t="shared" si="252"/>
        <v>144.17337458572592</v>
      </c>
      <c r="Z96" s="2">
        <f t="shared" si="253"/>
        <v>138.92616252213384</v>
      </c>
      <c r="AA96" s="2">
        <f t="shared" si="254"/>
        <v>134.05504977723527</v>
      </c>
      <c r="AB96" s="2">
        <f t="shared" si="255"/>
        <v>129.54021978713754</v>
      </c>
      <c r="AC96" s="2">
        <f t="shared" si="256"/>
        <v>125.35799692487305</v>
      </c>
      <c r="AD96" s="2">
        <f t="shared" si="257"/>
        <v>121.48111024031041</v>
      </c>
      <c r="AE96" s="2">
        <f t="shared" si="258"/>
        <v>117.8789944598515</v>
      </c>
      <c r="AF96" s="2">
        <f t="shared" si="259"/>
        <v>114.51812485229168</v>
      </c>
      <c r="AG96" s="2">
        <f t="shared" si="260"/>
        <v>111.36238229332254</v>
      </c>
      <c r="AH96" s="2">
        <f t="shared" si="261"/>
        <v>108.37344462730431</v>
      </c>
      <c r="AI96" s="2">
        <f t="shared" si="262"/>
        <v>105.51120022948579</v>
      </c>
      <c r="AJ96" s="2">
        <f t="shared" si="263"/>
        <v>102.73417951291933</v>
      </c>
      <c r="AK96" s="2">
        <f t="shared" si="141"/>
        <v>100</v>
      </c>
      <c r="AL96" s="16"/>
      <c r="AM96" s="37">
        <v>2.6666666666666668E-2</v>
      </c>
      <c r="AN96" s="2">
        <f t="shared" si="142"/>
        <v>-1076400000</v>
      </c>
      <c r="AO96" s="2">
        <f t="shared" si="143"/>
        <v>-1038316738.3735276</v>
      </c>
      <c r="AP96" s="2">
        <f t="shared" si="144"/>
        <v>-1000389529.0927757</v>
      </c>
      <c r="AQ96" s="2">
        <f t="shared" si="145"/>
        <v>-962772676.40792739</v>
      </c>
      <c r="AR96" s="2">
        <f t="shared" si="146"/>
        <v>-925617009.21052885</v>
      </c>
      <c r="AS96" s="2">
        <f t="shared" si="147"/>
        <v>-889068195.13324547</v>
      </c>
      <c r="AT96" s="2">
        <f t="shared" si="148"/>
        <v>-853265115.94538701</v>
      </c>
      <c r="AU96" s="2">
        <f t="shared" si="149"/>
        <v>-818338323.2971015</v>
      </c>
      <c r="AV96" s="2">
        <f t="shared" si="150"/>
        <v>-784408592.72140348</v>
      </c>
      <c r="AW96" s="2">
        <f t="shared" si="151"/>
        <v>-751585592.41994822</v>
      </c>
      <c r="AX96" s="2">
        <f t="shared" si="152"/>
        <v>-719966681.76432431</v>
      </c>
      <c r="AY96" s="2">
        <f t="shared" si="153"/>
        <v>-689635852.67194188</v>
      </c>
      <c r="AZ96" s="2">
        <f t="shared" si="154"/>
        <v>-660662825.09916294</v>
      </c>
      <c r="BA96" s="2">
        <f t="shared" si="155"/>
        <v>-633102305.8706255</v>
      </c>
      <c r="BB96" s="2">
        <f t="shared" si="156"/>
        <v>-606993417.96955156</v>
      </c>
      <c r="BC96" s="2">
        <f t="shared" si="157"/>
        <v>-582359305.28550231</v>
      </c>
      <c r="BD96" s="2">
        <f t="shared" si="158"/>
        <v>-559206915.68819964</v>
      </c>
      <c r="BE96" s="2">
        <f t="shared" si="159"/>
        <v>-537526963.20091748</v>
      </c>
      <c r="BF96" s="2">
        <f t="shared" si="160"/>
        <v>-517294068.01358461</v>
      </c>
      <c r="BG96" s="2">
        <f t="shared" si="161"/>
        <v>-498467071.12941611</v>
      </c>
      <c r="BH96" s="2">
        <f t="shared" si="162"/>
        <v>-480989518.60072005</v>
      </c>
      <c r="BI96" s="2">
        <f t="shared" si="163"/>
        <v>-464790308.59624952</v>
      </c>
      <c r="BJ96" s="2">
        <f t="shared" si="164"/>
        <v>-449784492.96644443</v>
      </c>
      <c r="BK96" s="2">
        <f t="shared" si="165"/>
        <v>-435874223.54223382</v>
      </c>
      <c r="BL96" s="2">
        <f t="shared" si="166"/>
        <v>-422949832.12194717</v>
      </c>
      <c r="BM96" s="2">
        <f t="shared" si="167"/>
        <v>-410891031.9700225</v>
      </c>
      <c r="BN96" s="2">
        <f t="shared" si="168"/>
        <v>-399568227.66844124</v>
      </c>
      <c r="BO96" s="2">
        <f t="shared" si="169"/>
        <v>-388843919.32276785</v>
      </c>
      <c r="BP96" s="2">
        <f t="shared" si="170"/>
        <v>-378574186.42339498</v>
      </c>
      <c r="BQ96" s="2">
        <f t="shared" si="171"/>
        <v>-368610236.09235454</v>
      </c>
      <c r="BR96" s="2">
        <f t="shared" si="172"/>
        <v>-358800000</v>
      </c>
      <c r="BT96" s="16"/>
      <c r="BU96" s="37">
        <v>2.6666666666666668E-2</v>
      </c>
      <c r="BV96" s="2">
        <f t="shared" si="173"/>
        <v>0.40647234346137129</v>
      </c>
      <c r="BW96" s="2">
        <f t="shared" si="174"/>
        <v>0.40647234346137129</v>
      </c>
      <c r="BX96" s="2">
        <f t="shared" si="175"/>
        <v>0.40647234346137129</v>
      </c>
      <c r="BY96" s="2">
        <f t="shared" si="176"/>
        <v>0.40647234346137129</v>
      </c>
      <c r="BZ96" s="2">
        <f t="shared" si="177"/>
        <v>0.40647234346137129</v>
      </c>
      <c r="CA96" s="2">
        <f t="shared" si="178"/>
        <v>0.40647234346137129</v>
      </c>
      <c r="CB96" s="2">
        <f t="shared" si="179"/>
        <v>0.40647234346137129</v>
      </c>
      <c r="CC96" s="2">
        <f t="shared" si="180"/>
        <v>0.40647234346137129</v>
      </c>
      <c r="CD96" s="2">
        <f t="shared" si="181"/>
        <v>0.40647234346137129</v>
      </c>
      <c r="CE96" s="2">
        <f t="shared" si="182"/>
        <v>0.40647234346137129</v>
      </c>
      <c r="CF96" s="2">
        <f t="shared" si="183"/>
        <v>0.40647234346137129</v>
      </c>
      <c r="CG96" s="2">
        <f t="shared" si="184"/>
        <v>0.40647234346137129</v>
      </c>
      <c r="CH96" s="2">
        <f t="shared" si="185"/>
        <v>0.40647234346137129</v>
      </c>
      <c r="CI96" s="2">
        <f t="shared" si="186"/>
        <v>0.40647234346137129</v>
      </c>
      <c r="CJ96" s="2">
        <f t="shared" si="187"/>
        <v>0.40647234346137129</v>
      </c>
      <c r="CK96" s="2">
        <f t="shared" si="188"/>
        <v>0.40647234346137129</v>
      </c>
      <c r="CL96" s="2">
        <f t="shared" si="189"/>
        <v>0.40647234346137129</v>
      </c>
      <c r="CM96" s="2">
        <f t="shared" si="190"/>
        <v>0.40647234346137129</v>
      </c>
      <c r="CN96" s="2">
        <f t="shared" si="191"/>
        <v>0.40647234346137129</v>
      </c>
      <c r="CO96" s="2">
        <f t="shared" si="192"/>
        <v>0.40647234346137129</v>
      </c>
      <c r="CP96" s="2">
        <f t="shared" si="193"/>
        <v>0.40647234346137129</v>
      </c>
      <c r="CQ96" s="2">
        <f t="shared" si="194"/>
        <v>0.40647234346137129</v>
      </c>
      <c r="CR96" s="2">
        <f t="shared" si="195"/>
        <v>0.40647234346137129</v>
      </c>
      <c r="CS96" s="2">
        <f t="shared" si="196"/>
        <v>0.40647234346137129</v>
      </c>
      <c r="CT96" s="2">
        <f t="shared" si="197"/>
        <v>0.40647234346137129</v>
      </c>
      <c r="CU96" s="2">
        <f t="shared" si="198"/>
        <v>0.40647234346137129</v>
      </c>
      <c r="CV96" s="2">
        <f t="shared" si="199"/>
        <v>0.40647234346137129</v>
      </c>
      <c r="CW96" s="2">
        <f t="shared" si="200"/>
        <v>0.40647234346137129</v>
      </c>
      <c r="CX96" s="2">
        <f t="shared" si="201"/>
        <v>0.40647234346137129</v>
      </c>
      <c r="CY96" s="2">
        <f t="shared" si="202"/>
        <v>0.40647234346137129</v>
      </c>
      <c r="CZ96" s="2">
        <f t="shared" si="203"/>
        <v>0.40647234346137129</v>
      </c>
      <c r="DB96" s="16"/>
      <c r="DC96" s="37">
        <v>2.6666666666666668E-2</v>
      </c>
      <c r="DD96" s="2">
        <f t="shared" si="204"/>
        <v>178.05829696158864</v>
      </c>
      <c r="DE96" s="2">
        <f t="shared" si="205"/>
        <v>171.75855643023198</v>
      </c>
      <c r="DF96" s="2">
        <f t="shared" si="206"/>
        <v>165.4846301081989</v>
      </c>
      <c r="DG96" s="2">
        <f t="shared" si="207"/>
        <v>159.26204303450967</v>
      </c>
      <c r="DH96" s="2">
        <f t="shared" si="208"/>
        <v>153.11574535368439</v>
      </c>
      <c r="DI96" s="2">
        <f t="shared" si="209"/>
        <v>147.06983343379696</v>
      </c>
      <c r="DJ96" s="2">
        <f t="shared" si="210"/>
        <v>141.14728112408778</v>
      </c>
      <c r="DK96" s="2">
        <f t="shared" si="211"/>
        <v>135.36968430386827</v>
      </c>
      <c r="DL96" s="2">
        <f t="shared" si="212"/>
        <v>129.75702168525595</v>
      </c>
      <c r="DM96" s="2">
        <f t="shared" si="213"/>
        <v>124.32743460345844</v>
      </c>
      <c r="DN96" s="2">
        <f t="shared" si="214"/>
        <v>119.09702826462434</v>
      </c>
      <c r="DO96" s="2">
        <f t="shared" si="215"/>
        <v>114.07969662803698</v>
      </c>
      <c r="DP96" s="2">
        <f t="shared" si="216"/>
        <v>109.28697278241255</v>
      </c>
      <c r="DQ96" s="2">
        <f t="shared" si="217"/>
        <v>104.72790634130281</v>
      </c>
      <c r="DR96" s="2">
        <f t="shared" si="218"/>
        <v>100.40896903618741</v>
      </c>
      <c r="DS96" s="2">
        <f t="shared" si="219"/>
        <v>96.333989333770376</v>
      </c>
      <c r="DT96" s="2">
        <f t="shared" si="220"/>
        <v>92.504116552009961</v>
      </c>
      <c r="DU96" s="2">
        <f t="shared" si="221"/>
        <v>88.917814602833417</v>
      </c>
      <c r="DV96" s="2">
        <f t="shared" si="222"/>
        <v>85.570885153131812</v>
      </c>
      <c r="DW96" s="2">
        <f t="shared" si="223"/>
        <v>82.456519673666776</v>
      </c>
      <c r="DX96" s="2">
        <f t="shared" si="224"/>
        <v>79.565379541451676</v>
      </c>
      <c r="DY96" s="2">
        <f t="shared" si="225"/>
        <v>76.885703077758663</v>
      </c>
      <c r="DZ96" s="2">
        <f t="shared" si="226"/>
        <v>74.403438143196524</v>
      </c>
      <c r="EA96" s="2">
        <f t="shared" si="227"/>
        <v>72.102398674642259</v>
      </c>
      <c r="EB96" s="2">
        <f t="shared" si="228"/>
        <v>69.964443336885665</v>
      </c>
      <c r="EC96" s="2">
        <f t="shared" si="229"/>
        <v>67.969674274778782</v>
      </c>
      <c r="ED96" s="2">
        <f t="shared" si="230"/>
        <v>66.096653789114612</v>
      </c>
      <c r="EE96" s="2">
        <f t="shared" si="231"/>
        <v>64.322636620662763</v>
      </c>
      <c r="EF96" s="2">
        <f t="shared" si="232"/>
        <v>62.623815410784729</v>
      </c>
      <c r="EG96" s="2">
        <f t="shared" si="233"/>
        <v>60.975576812721812</v>
      </c>
      <c r="EH96" s="2">
        <f t="shared" si="234"/>
        <v>59.352765653862882</v>
      </c>
    </row>
    <row r="97" spans="5:138">
      <c r="E97" s="18"/>
      <c r="F97" s="37">
        <v>2.3333333333333334E-2</v>
      </c>
      <c r="G97" s="2">
        <f t="shared" si="139"/>
        <v>300</v>
      </c>
      <c r="H97" s="2">
        <f t="shared" si="235"/>
        <v>289.38593600154059</v>
      </c>
      <c r="I97" s="2">
        <f t="shared" si="236"/>
        <v>278.81536485305912</v>
      </c>
      <c r="J97" s="2">
        <f t="shared" si="237"/>
        <v>268.33129219841902</v>
      </c>
      <c r="K97" s="2">
        <f t="shared" si="238"/>
        <v>257.9757550753983</v>
      </c>
      <c r="L97" s="2">
        <f t="shared" si="239"/>
        <v>247.7893520438254</v>
      </c>
      <c r="M97" s="2">
        <f t="shared" si="240"/>
        <v>237.81079039726509</v>
      </c>
      <c r="N97" s="2">
        <f t="shared" si="241"/>
        <v>228.07645576842296</v>
      </c>
      <c r="O97" s="2">
        <f t="shared" si="242"/>
        <v>218.62000911967772</v>
      </c>
      <c r="P97" s="2">
        <f t="shared" si="243"/>
        <v>209.47201572462325</v>
      </c>
      <c r="Q97" s="2">
        <f t="shared" si="244"/>
        <v>200.65961030220859</v>
      </c>
      <c r="R97" s="2">
        <f t="shared" si="245"/>
        <v>192.20620197099831</v>
      </c>
      <c r="S97" s="2">
        <f t="shared" si="246"/>
        <v>184.13122215695736</v>
      </c>
      <c r="T97" s="2">
        <f t="shared" si="247"/>
        <v>176.44991802414313</v>
      </c>
      <c r="U97" s="2">
        <f t="shared" si="248"/>
        <v>169.17319341403339</v>
      </c>
      <c r="V97" s="2">
        <f t="shared" si="249"/>
        <v>162.30749868603746</v>
      </c>
      <c r="W97" s="2">
        <f t="shared" si="250"/>
        <v>155.85477025869557</v>
      </c>
      <c r="X97" s="2">
        <f t="shared" si="251"/>
        <v>149.81242006714535</v>
      </c>
      <c r="Y97" s="2">
        <f t="shared" si="252"/>
        <v>144.17337458572595</v>
      </c>
      <c r="Z97" s="2">
        <f t="shared" si="253"/>
        <v>138.92616252213386</v>
      </c>
      <c r="AA97" s="2">
        <f t="shared" si="254"/>
        <v>134.0550497772353</v>
      </c>
      <c r="AB97" s="2">
        <f t="shared" si="255"/>
        <v>129.54021978713757</v>
      </c>
      <c r="AC97" s="2">
        <f t="shared" si="256"/>
        <v>125.35799692487306</v>
      </c>
      <c r="AD97" s="2">
        <f t="shared" si="257"/>
        <v>121.48111024031044</v>
      </c>
      <c r="AE97" s="2">
        <f t="shared" si="258"/>
        <v>117.87899445985151</v>
      </c>
      <c r="AF97" s="2">
        <f t="shared" si="259"/>
        <v>114.51812485229172</v>
      </c>
      <c r="AG97" s="2">
        <f t="shared" si="260"/>
        <v>111.36238229332255</v>
      </c>
      <c r="AH97" s="2">
        <f t="shared" si="261"/>
        <v>108.37344462730431</v>
      </c>
      <c r="AI97" s="2">
        <f t="shared" si="262"/>
        <v>105.51120022948579</v>
      </c>
      <c r="AJ97" s="2">
        <f t="shared" si="263"/>
        <v>102.73417951291933</v>
      </c>
      <c r="AK97" s="2">
        <f t="shared" si="141"/>
        <v>100</v>
      </c>
      <c r="AL97" s="16"/>
      <c r="AM97" s="37">
        <v>2.3333333333333334E-2</v>
      </c>
      <c r="AN97" s="2">
        <f t="shared" si="142"/>
        <v>-1076400000</v>
      </c>
      <c r="AO97" s="2">
        <f t="shared" si="143"/>
        <v>-1038316738.3735276</v>
      </c>
      <c r="AP97" s="2">
        <f t="shared" si="144"/>
        <v>-1000389529.0927759</v>
      </c>
      <c r="AQ97" s="2">
        <f t="shared" si="145"/>
        <v>-962772676.40792763</v>
      </c>
      <c r="AR97" s="2">
        <f t="shared" si="146"/>
        <v>-925617009.21052909</v>
      </c>
      <c r="AS97" s="2">
        <f t="shared" si="147"/>
        <v>-889068195.13324559</v>
      </c>
      <c r="AT97" s="2">
        <f t="shared" si="148"/>
        <v>-853265115.94538724</v>
      </c>
      <c r="AU97" s="2">
        <f t="shared" si="149"/>
        <v>-818338323.2971015</v>
      </c>
      <c r="AV97" s="2">
        <f t="shared" si="150"/>
        <v>-784408592.72140348</v>
      </c>
      <c r="AW97" s="2">
        <f t="shared" si="151"/>
        <v>-751585592.41994822</v>
      </c>
      <c r="AX97" s="2">
        <f t="shared" si="152"/>
        <v>-719966681.76432443</v>
      </c>
      <c r="AY97" s="2">
        <f t="shared" si="153"/>
        <v>-689635852.67194188</v>
      </c>
      <c r="AZ97" s="2">
        <f t="shared" si="154"/>
        <v>-660662825.09916294</v>
      </c>
      <c r="BA97" s="2">
        <f t="shared" si="155"/>
        <v>-633102305.8706255</v>
      </c>
      <c r="BB97" s="2">
        <f t="shared" si="156"/>
        <v>-606993417.9695518</v>
      </c>
      <c r="BC97" s="2">
        <f t="shared" si="157"/>
        <v>-582359305.28550243</v>
      </c>
      <c r="BD97" s="2">
        <f t="shared" si="158"/>
        <v>-559206915.68819964</v>
      </c>
      <c r="BE97" s="2">
        <f t="shared" si="159"/>
        <v>-537526963.20091748</v>
      </c>
      <c r="BF97" s="2">
        <f t="shared" si="160"/>
        <v>-517294068.01358473</v>
      </c>
      <c r="BG97" s="2">
        <f t="shared" si="161"/>
        <v>-498467071.12941629</v>
      </c>
      <c r="BH97" s="2">
        <f t="shared" si="162"/>
        <v>-480989518.60072023</v>
      </c>
      <c r="BI97" s="2">
        <f t="shared" si="163"/>
        <v>-464790308.59624964</v>
      </c>
      <c r="BJ97" s="2">
        <f t="shared" si="164"/>
        <v>-449784492.96644449</v>
      </c>
      <c r="BK97" s="2">
        <f t="shared" si="165"/>
        <v>-435874223.54223388</v>
      </c>
      <c r="BL97" s="2">
        <f t="shared" si="166"/>
        <v>-422949832.12194723</v>
      </c>
      <c r="BM97" s="2">
        <f t="shared" si="167"/>
        <v>-410891031.97002262</v>
      </c>
      <c r="BN97" s="2">
        <f t="shared" si="168"/>
        <v>-399568227.66844124</v>
      </c>
      <c r="BO97" s="2">
        <f t="shared" si="169"/>
        <v>-388843919.32276785</v>
      </c>
      <c r="BP97" s="2">
        <f t="shared" si="170"/>
        <v>-378574186.42339498</v>
      </c>
      <c r="BQ97" s="2">
        <f t="shared" si="171"/>
        <v>-368610236.09235454</v>
      </c>
      <c r="BR97" s="2">
        <f t="shared" si="172"/>
        <v>-358800000</v>
      </c>
      <c r="BT97" s="16"/>
      <c r="BU97" s="37">
        <v>2.3333333333333334E-2</v>
      </c>
      <c r="BV97" s="2">
        <f t="shared" si="173"/>
        <v>0.40647468537622489</v>
      </c>
      <c r="BW97" s="2">
        <f t="shared" si="174"/>
        <v>0.40647468537622489</v>
      </c>
      <c r="BX97" s="2">
        <f t="shared" si="175"/>
        <v>0.40647468537622489</v>
      </c>
      <c r="BY97" s="2">
        <f t="shared" si="176"/>
        <v>0.40647468537622489</v>
      </c>
      <c r="BZ97" s="2">
        <f t="shared" si="177"/>
        <v>0.40647468537622489</v>
      </c>
      <c r="CA97" s="2">
        <f t="shared" si="178"/>
        <v>0.40647468537622489</v>
      </c>
      <c r="CB97" s="2">
        <f t="shared" si="179"/>
        <v>0.40647468537622489</v>
      </c>
      <c r="CC97" s="2">
        <f t="shared" si="180"/>
        <v>0.40647468537622489</v>
      </c>
      <c r="CD97" s="2">
        <f t="shared" si="181"/>
        <v>0.40647468537622489</v>
      </c>
      <c r="CE97" s="2">
        <f t="shared" si="182"/>
        <v>0.40647468537622489</v>
      </c>
      <c r="CF97" s="2">
        <f t="shared" si="183"/>
        <v>0.40647468537622489</v>
      </c>
      <c r="CG97" s="2">
        <f t="shared" si="184"/>
        <v>0.40647468537622489</v>
      </c>
      <c r="CH97" s="2">
        <f t="shared" si="185"/>
        <v>0.40647468537622489</v>
      </c>
      <c r="CI97" s="2">
        <f t="shared" si="186"/>
        <v>0.40647468537622489</v>
      </c>
      <c r="CJ97" s="2">
        <f t="shared" si="187"/>
        <v>0.40647468537622489</v>
      </c>
      <c r="CK97" s="2">
        <f t="shared" si="188"/>
        <v>0.40647468537622489</v>
      </c>
      <c r="CL97" s="2">
        <f t="shared" si="189"/>
        <v>0.40647468537622489</v>
      </c>
      <c r="CM97" s="2">
        <f t="shared" si="190"/>
        <v>0.40647468537622489</v>
      </c>
      <c r="CN97" s="2">
        <f t="shared" si="191"/>
        <v>0.40647468537622489</v>
      </c>
      <c r="CO97" s="2">
        <f t="shared" si="192"/>
        <v>0.40647468537622489</v>
      </c>
      <c r="CP97" s="2">
        <f t="shared" si="193"/>
        <v>0.40647468537622489</v>
      </c>
      <c r="CQ97" s="2">
        <f t="shared" si="194"/>
        <v>0.40647468537622489</v>
      </c>
      <c r="CR97" s="2">
        <f t="shared" si="195"/>
        <v>0.40647468537622489</v>
      </c>
      <c r="CS97" s="2">
        <f t="shared" si="196"/>
        <v>0.40647468537622489</v>
      </c>
      <c r="CT97" s="2">
        <f t="shared" si="197"/>
        <v>0.40647468537622489</v>
      </c>
      <c r="CU97" s="2">
        <f t="shared" si="198"/>
        <v>0.40647468537622489</v>
      </c>
      <c r="CV97" s="2">
        <f t="shared" si="199"/>
        <v>0.40647468537622489</v>
      </c>
      <c r="CW97" s="2">
        <f t="shared" si="200"/>
        <v>0.40647468537622489</v>
      </c>
      <c r="CX97" s="2">
        <f t="shared" si="201"/>
        <v>0.40647468537622489</v>
      </c>
      <c r="CY97" s="2">
        <f t="shared" si="202"/>
        <v>0.40647468537622489</v>
      </c>
      <c r="CZ97" s="2">
        <f t="shared" si="203"/>
        <v>0.40647468537622489</v>
      </c>
      <c r="DB97" s="16"/>
      <c r="DC97" s="37">
        <v>2.3333333333333334E-2</v>
      </c>
      <c r="DD97" s="2">
        <f t="shared" si="204"/>
        <v>178.05759438713258</v>
      </c>
      <c r="DE97" s="2">
        <f t="shared" si="205"/>
        <v>171.75787871301006</v>
      </c>
      <c r="DF97" s="2">
        <f t="shared" si="206"/>
        <v>165.48397714635456</v>
      </c>
      <c r="DG97" s="2">
        <f t="shared" si="207"/>
        <v>159.26141462547079</v>
      </c>
      <c r="DH97" s="2">
        <f t="shared" si="208"/>
        <v>153.11514119643172</v>
      </c>
      <c r="DI97" s="2">
        <f t="shared" si="209"/>
        <v>147.06925313223286</v>
      </c>
      <c r="DJ97" s="2">
        <f t="shared" si="210"/>
        <v>141.14672419146541</v>
      </c>
      <c r="DK97" s="2">
        <f t="shared" si="211"/>
        <v>135.36915016822877</v>
      </c>
      <c r="DL97" s="2">
        <f t="shared" si="212"/>
        <v>129.75650969580929</v>
      </c>
      <c r="DM97" s="2">
        <f t="shared" si="213"/>
        <v>124.32694403783339</v>
      </c>
      <c r="DN97" s="2">
        <f t="shared" si="214"/>
        <v>119.09655833690248</v>
      </c>
      <c r="DO97" s="2">
        <f t="shared" si="215"/>
        <v>114.07924649747764</v>
      </c>
      <c r="DP97" s="2">
        <f t="shared" si="216"/>
        <v>109.28654156276836</v>
      </c>
      <c r="DQ97" s="2">
        <f t="shared" si="217"/>
        <v>104.72749311061888</v>
      </c>
      <c r="DR97" s="2">
        <f t="shared" si="218"/>
        <v>100.40857284697294</v>
      </c>
      <c r="DS97" s="2">
        <f t="shared" si="219"/>
        <v>96.333609223428368</v>
      </c>
      <c r="DT97" s="2">
        <f t="shared" si="220"/>
        <v>92.503751553408492</v>
      </c>
      <c r="DU97" s="2">
        <f t="shared" si="221"/>
        <v>88.917463754901618</v>
      </c>
      <c r="DV97" s="2">
        <f t="shared" si="222"/>
        <v>85.570547511364396</v>
      </c>
      <c r="DW97" s="2">
        <f t="shared" si="223"/>
        <v>82.456194320423236</v>
      </c>
      <c r="DX97" s="2">
        <f t="shared" si="224"/>
        <v>79.565065595939416</v>
      </c>
      <c r="DY97" s="2">
        <f t="shared" si="225"/>
        <v>76.885399705593827</v>
      </c>
      <c r="DZ97" s="2">
        <f t="shared" si="226"/>
        <v>74.403144565441522</v>
      </c>
      <c r="EA97" s="2">
        <f t="shared" si="227"/>
        <v>72.102114176225768</v>
      </c>
      <c r="EB97" s="2">
        <f t="shared" si="228"/>
        <v>69.964167274317617</v>
      </c>
      <c r="EC97" s="2">
        <f t="shared" si="229"/>
        <v>67.969406083081211</v>
      </c>
      <c r="ED97" s="2">
        <f t="shared" si="230"/>
        <v>66.096392987897389</v>
      </c>
      <c r="EE97" s="2">
        <f t="shared" si="231"/>
        <v>64.322382819283064</v>
      </c>
      <c r="EF97" s="2">
        <f t="shared" si="232"/>
        <v>62.623568312537692</v>
      </c>
      <c r="EG97" s="2">
        <f t="shared" si="233"/>
        <v>60.975336218020843</v>
      </c>
      <c r="EH97" s="2">
        <f t="shared" si="234"/>
        <v>59.35253146237752</v>
      </c>
    </row>
    <row r="98" spans="5:138">
      <c r="E98" s="18"/>
      <c r="F98" s="37">
        <v>0.02</v>
      </c>
      <c r="G98" s="2">
        <f t="shared" si="139"/>
        <v>300</v>
      </c>
      <c r="H98" s="2">
        <f t="shared" si="235"/>
        <v>289.38593600154059</v>
      </c>
      <c r="I98" s="2">
        <f t="shared" si="236"/>
        <v>278.81536485305912</v>
      </c>
      <c r="J98" s="2">
        <f t="shared" si="237"/>
        <v>268.33129219841902</v>
      </c>
      <c r="K98" s="2">
        <f t="shared" si="238"/>
        <v>257.9757550753983</v>
      </c>
      <c r="L98" s="2">
        <f t="shared" si="239"/>
        <v>247.78935204382537</v>
      </c>
      <c r="M98" s="2">
        <f t="shared" si="240"/>
        <v>237.81079039726507</v>
      </c>
      <c r="N98" s="2">
        <f t="shared" si="241"/>
        <v>228.07645576842299</v>
      </c>
      <c r="O98" s="2">
        <f t="shared" si="242"/>
        <v>218.62000911967766</v>
      </c>
      <c r="P98" s="2">
        <f t="shared" si="243"/>
        <v>209.47201572462325</v>
      </c>
      <c r="Q98" s="2">
        <f t="shared" si="244"/>
        <v>200.65961030220859</v>
      </c>
      <c r="R98" s="2">
        <f t="shared" si="245"/>
        <v>192.20620197099831</v>
      </c>
      <c r="S98" s="2">
        <f t="shared" si="246"/>
        <v>184.13122215695734</v>
      </c>
      <c r="T98" s="2">
        <f t="shared" si="247"/>
        <v>176.44991802414313</v>
      </c>
      <c r="U98" s="2">
        <f t="shared" si="248"/>
        <v>169.17319341403339</v>
      </c>
      <c r="V98" s="2">
        <f t="shared" si="249"/>
        <v>162.30749868603746</v>
      </c>
      <c r="W98" s="2">
        <f t="shared" si="250"/>
        <v>155.85477025869557</v>
      </c>
      <c r="X98" s="2">
        <f t="shared" si="251"/>
        <v>149.81242006714535</v>
      </c>
      <c r="Y98" s="2">
        <f t="shared" si="252"/>
        <v>144.17337458572595</v>
      </c>
      <c r="Z98" s="2">
        <f t="shared" si="253"/>
        <v>138.92616252213386</v>
      </c>
      <c r="AA98" s="2">
        <f t="shared" si="254"/>
        <v>134.0550497772353</v>
      </c>
      <c r="AB98" s="2">
        <f t="shared" si="255"/>
        <v>129.54021978713757</v>
      </c>
      <c r="AC98" s="2">
        <f t="shared" si="256"/>
        <v>125.35799692487305</v>
      </c>
      <c r="AD98" s="2">
        <f t="shared" si="257"/>
        <v>121.48111024031044</v>
      </c>
      <c r="AE98" s="2">
        <f t="shared" si="258"/>
        <v>117.8789944598515</v>
      </c>
      <c r="AF98" s="2">
        <f t="shared" si="259"/>
        <v>114.51812485229172</v>
      </c>
      <c r="AG98" s="2">
        <f t="shared" si="260"/>
        <v>111.36238229332255</v>
      </c>
      <c r="AH98" s="2">
        <f t="shared" si="261"/>
        <v>108.37344462730431</v>
      </c>
      <c r="AI98" s="2">
        <f t="shared" si="262"/>
        <v>105.51120022948581</v>
      </c>
      <c r="AJ98" s="2">
        <f t="shared" si="263"/>
        <v>102.73417951291933</v>
      </c>
      <c r="AK98" s="2">
        <f t="shared" si="141"/>
        <v>100</v>
      </c>
      <c r="AL98" s="16"/>
      <c r="AM98" s="37">
        <v>0.02</v>
      </c>
      <c r="AN98" s="2">
        <f t="shared" si="142"/>
        <v>-1076400000</v>
      </c>
      <c r="AO98" s="2">
        <f t="shared" si="143"/>
        <v>-1038316738.3735276</v>
      </c>
      <c r="AP98" s="2">
        <f t="shared" si="144"/>
        <v>-1000389529.0927759</v>
      </c>
      <c r="AQ98" s="2">
        <f t="shared" si="145"/>
        <v>-962772676.40792739</v>
      </c>
      <c r="AR98" s="2">
        <f t="shared" si="146"/>
        <v>-925617009.21052885</v>
      </c>
      <c r="AS98" s="2">
        <f t="shared" si="147"/>
        <v>-889068195.13324547</v>
      </c>
      <c r="AT98" s="2">
        <f t="shared" si="148"/>
        <v>-853265115.94538701</v>
      </c>
      <c r="AU98" s="2">
        <f t="shared" si="149"/>
        <v>-818338323.2971015</v>
      </c>
      <c r="AV98" s="2">
        <f t="shared" si="150"/>
        <v>-784408592.72140348</v>
      </c>
      <c r="AW98" s="2">
        <f t="shared" si="151"/>
        <v>-751585592.41994822</v>
      </c>
      <c r="AX98" s="2">
        <f t="shared" si="152"/>
        <v>-719966681.76432443</v>
      </c>
      <c r="AY98" s="2">
        <f t="shared" si="153"/>
        <v>-689635852.67194188</v>
      </c>
      <c r="AZ98" s="2">
        <f t="shared" si="154"/>
        <v>-660662825.09916294</v>
      </c>
      <c r="BA98" s="2">
        <f t="shared" si="155"/>
        <v>-633102305.8706255</v>
      </c>
      <c r="BB98" s="2">
        <f t="shared" si="156"/>
        <v>-606993417.9695518</v>
      </c>
      <c r="BC98" s="2">
        <f t="shared" si="157"/>
        <v>-582359305.28550243</v>
      </c>
      <c r="BD98" s="2">
        <f t="shared" si="158"/>
        <v>-559206915.68819964</v>
      </c>
      <c r="BE98" s="2">
        <f t="shared" si="159"/>
        <v>-537526963.20091748</v>
      </c>
      <c r="BF98" s="2">
        <f t="shared" si="160"/>
        <v>-517294068.01358473</v>
      </c>
      <c r="BG98" s="2">
        <f t="shared" si="161"/>
        <v>-498467071.12941629</v>
      </c>
      <c r="BH98" s="2">
        <f t="shared" si="162"/>
        <v>-480989518.60072017</v>
      </c>
      <c r="BI98" s="2">
        <f t="shared" si="163"/>
        <v>-464790308.59624964</v>
      </c>
      <c r="BJ98" s="2">
        <f t="shared" si="164"/>
        <v>-449784492.96644449</v>
      </c>
      <c r="BK98" s="2">
        <f t="shared" si="165"/>
        <v>-435874223.54223388</v>
      </c>
      <c r="BL98" s="2">
        <f t="shared" si="166"/>
        <v>-422949832.12194723</v>
      </c>
      <c r="BM98" s="2">
        <f t="shared" si="167"/>
        <v>-410891031.97002262</v>
      </c>
      <c r="BN98" s="2">
        <f t="shared" si="168"/>
        <v>-399568227.66844124</v>
      </c>
      <c r="BO98" s="2">
        <f t="shared" si="169"/>
        <v>-388843919.32276785</v>
      </c>
      <c r="BP98" s="2">
        <f t="shared" si="170"/>
        <v>-378574186.42339498</v>
      </c>
      <c r="BQ98" s="2">
        <f t="shared" si="171"/>
        <v>-368610236.09235454</v>
      </c>
      <c r="BR98" s="2">
        <f t="shared" si="172"/>
        <v>-358800000</v>
      </c>
      <c r="BT98" s="16"/>
      <c r="BU98" s="37">
        <v>0.02</v>
      </c>
      <c r="BV98" s="2">
        <f t="shared" si="173"/>
        <v>0.40648885983862293</v>
      </c>
      <c r="BW98" s="2">
        <f t="shared" si="174"/>
        <v>0.40648885983862293</v>
      </c>
      <c r="BX98" s="2">
        <f t="shared" si="175"/>
        <v>0.40648885983862293</v>
      </c>
      <c r="BY98" s="2">
        <f t="shared" si="176"/>
        <v>0.40648885983862293</v>
      </c>
      <c r="BZ98" s="2">
        <f t="shared" si="177"/>
        <v>0.40648885983862293</v>
      </c>
      <c r="CA98" s="2">
        <f t="shared" si="178"/>
        <v>0.40648885983862293</v>
      </c>
      <c r="CB98" s="2">
        <f t="shared" si="179"/>
        <v>0.40648885983862293</v>
      </c>
      <c r="CC98" s="2">
        <f t="shared" si="180"/>
        <v>0.40648885983862293</v>
      </c>
      <c r="CD98" s="2">
        <f t="shared" si="181"/>
        <v>0.40648885983862293</v>
      </c>
      <c r="CE98" s="2">
        <f t="shared" si="182"/>
        <v>0.40648885983862293</v>
      </c>
      <c r="CF98" s="2">
        <f t="shared" si="183"/>
        <v>0.40648885983862293</v>
      </c>
      <c r="CG98" s="2">
        <f t="shared" si="184"/>
        <v>0.40648885983862293</v>
      </c>
      <c r="CH98" s="2">
        <f t="shared" si="185"/>
        <v>0.40648885983862293</v>
      </c>
      <c r="CI98" s="2">
        <f t="shared" si="186"/>
        <v>0.40648885983862293</v>
      </c>
      <c r="CJ98" s="2">
        <f t="shared" si="187"/>
        <v>0.40648885983862293</v>
      </c>
      <c r="CK98" s="2">
        <f t="shared" si="188"/>
        <v>0.40648885983862293</v>
      </c>
      <c r="CL98" s="2">
        <f t="shared" si="189"/>
        <v>0.40648885983862293</v>
      </c>
      <c r="CM98" s="2">
        <f t="shared" si="190"/>
        <v>0.40648885983862293</v>
      </c>
      <c r="CN98" s="2">
        <f t="shared" si="191"/>
        <v>0.40648885983862293</v>
      </c>
      <c r="CO98" s="2">
        <f t="shared" si="192"/>
        <v>0.40648885983862293</v>
      </c>
      <c r="CP98" s="2">
        <f t="shared" si="193"/>
        <v>0.40648885983862293</v>
      </c>
      <c r="CQ98" s="2">
        <f t="shared" si="194"/>
        <v>0.40648885983862293</v>
      </c>
      <c r="CR98" s="2">
        <f t="shared" si="195"/>
        <v>0.40648885983862293</v>
      </c>
      <c r="CS98" s="2">
        <f t="shared" si="196"/>
        <v>0.40648885983862293</v>
      </c>
      <c r="CT98" s="2">
        <f t="shared" si="197"/>
        <v>0.40648885983862293</v>
      </c>
      <c r="CU98" s="2">
        <f t="shared" si="198"/>
        <v>0.40648885983862293</v>
      </c>
      <c r="CV98" s="2">
        <f t="shared" si="199"/>
        <v>0.40648885983862293</v>
      </c>
      <c r="CW98" s="2">
        <f t="shared" si="200"/>
        <v>0.40648885983862293</v>
      </c>
      <c r="CX98" s="2">
        <f t="shared" si="201"/>
        <v>0.40648885983862293</v>
      </c>
      <c r="CY98" s="2">
        <f t="shared" si="202"/>
        <v>0.40648885983862293</v>
      </c>
      <c r="CZ98" s="2">
        <f t="shared" si="203"/>
        <v>0.40648885983862293</v>
      </c>
      <c r="DB98" s="16"/>
      <c r="DC98" s="37">
        <v>0.02</v>
      </c>
      <c r="DD98" s="2">
        <f t="shared" si="204"/>
        <v>178.05334204841316</v>
      </c>
      <c r="DE98" s="2">
        <f t="shared" si="205"/>
        <v>171.75377682294166</v>
      </c>
      <c r="DF98" s="2">
        <f t="shared" si="206"/>
        <v>165.48002508844945</v>
      </c>
      <c r="DG98" s="2">
        <f t="shared" si="207"/>
        <v>159.25761117365928</v>
      </c>
      <c r="DH98" s="2">
        <f t="shared" si="208"/>
        <v>153.11148452879178</v>
      </c>
      <c r="DI98" s="2">
        <f t="shared" si="209"/>
        <v>147.06574085137964</v>
      </c>
      <c r="DJ98" s="2">
        <f t="shared" si="210"/>
        <v>141.14335335135902</v>
      </c>
      <c r="DK98" s="2">
        <f t="shared" si="211"/>
        <v>135.36591730708261</v>
      </c>
      <c r="DL98" s="2">
        <f t="shared" si="212"/>
        <v>129.75341087471054</v>
      </c>
      <c r="DM98" s="2">
        <f t="shared" si="213"/>
        <v>124.32397488462306</v>
      </c>
      <c r="DN98" s="2">
        <f t="shared" si="214"/>
        <v>119.09371409480141</v>
      </c>
      <c r="DO98" s="2">
        <f t="shared" si="215"/>
        <v>114.07652207789512</v>
      </c>
      <c r="DP98" s="2">
        <f t="shared" si="216"/>
        <v>109.28393160168355</v>
      </c>
      <c r="DQ98" s="2">
        <f t="shared" si="217"/>
        <v>104.72499202789071</v>
      </c>
      <c r="DR98" s="2">
        <f t="shared" si="218"/>
        <v>100.40617490790413</v>
      </c>
      <c r="DS98" s="2">
        <f t="shared" si="219"/>
        <v>96.331308601891308</v>
      </c>
      <c r="DT98" s="2">
        <f t="shared" si="220"/>
        <v>92.501542395827883</v>
      </c>
      <c r="DU98" s="2">
        <f t="shared" si="221"/>
        <v>88.915340244386613</v>
      </c>
      <c r="DV98" s="2">
        <f t="shared" si="222"/>
        <v>85.568503931287523</v>
      </c>
      <c r="DW98" s="2">
        <f t="shared" si="223"/>
        <v>82.454225116756447</v>
      </c>
      <c r="DX98" s="2">
        <f t="shared" si="224"/>
        <v>79.563165437677071</v>
      </c>
      <c r="DY98" s="2">
        <f t="shared" si="225"/>
        <v>76.883563542619413</v>
      </c>
      <c r="DZ98" s="2">
        <f t="shared" si="226"/>
        <v>74.401367683227804</v>
      </c>
      <c r="EA98" s="2">
        <f t="shared" si="227"/>
        <v>72.100392246796588</v>
      </c>
      <c r="EB98" s="2">
        <f t="shared" si="228"/>
        <v>69.962496402943117</v>
      </c>
      <c r="EC98" s="2">
        <f t="shared" si="229"/>
        <v>67.967782850226584</v>
      </c>
      <c r="ED98" s="2">
        <f t="shared" si="230"/>
        <v>66.09481448599702</v>
      </c>
      <c r="EE98" s="2">
        <f t="shared" si="231"/>
        <v>64.320846683967247</v>
      </c>
      <c r="EF98" s="2">
        <f t="shared" si="232"/>
        <v>62.622072747997471</v>
      </c>
      <c r="EG98" s="2">
        <f t="shared" si="233"/>
        <v>60.973880016256345</v>
      </c>
      <c r="EH98" s="2">
        <f t="shared" si="234"/>
        <v>59.351114016137714</v>
      </c>
    </row>
    <row r="99" spans="5:138">
      <c r="E99" s="18"/>
      <c r="F99" s="37">
        <v>1.6666666666666666E-2</v>
      </c>
      <c r="G99" s="2">
        <f t="shared" si="139"/>
        <v>300</v>
      </c>
      <c r="H99" s="2">
        <f t="shared" si="235"/>
        <v>289.38593600154059</v>
      </c>
      <c r="I99" s="2">
        <f t="shared" si="236"/>
        <v>278.81536485305907</v>
      </c>
      <c r="J99" s="2">
        <f t="shared" si="237"/>
        <v>268.33129219841902</v>
      </c>
      <c r="K99" s="2">
        <f t="shared" si="238"/>
        <v>257.97575507539824</v>
      </c>
      <c r="L99" s="2">
        <f t="shared" si="239"/>
        <v>247.78935204382537</v>
      </c>
      <c r="M99" s="2">
        <f t="shared" si="240"/>
        <v>237.81079039726501</v>
      </c>
      <c r="N99" s="2">
        <f t="shared" si="241"/>
        <v>228.07645576842296</v>
      </c>
      <c r="O99" s="2">
        <f t="shared" si="242"/>
        <v>218.62000911967766</v>
      </c>
      <c r="P99" s="2">
        <f t="shared" si="243"/>
        <v>209.47201572462325</v>
      </c>
      <c r="Q99" s="2">
        <f t="shared" si="244"/>
        <v>200.65961030220856</v>
      </c>
      <c r="R99" s="2">
        <f t="shared" si="245"/>
        <v>192.20620197099828</v>
      </c>
      <c r="S99" s="2">
        <f t="shared" si="246"/>
        <v>184.13122215695731</v>
      </c>
      <c r="T99" s="2">
        <f t="shared" si="247"/>
        <v>176.44991802414313</v>
      </c>
      <c r="U99" s="2">
        <f t="shared" si="248"/>
        <v>169.17319341403339</v>
      </c>
      <c r="V99" s="2">
        <f t="shared" si="249"/>
        <v>162.30749868603749</v>
      </c>
      <c r="W99" s="2">
        <f t="shared" si="250"/>
        <v>155.85477025869557</v>
      </c>
      <c r="X99" s="2">
        <f t="shared" si="251"/>
        <v>149.81242006714535</v>
      </c>
      <c r="Y99" s="2">
        <f t="shared" si="252"/>
        <v>144.17337458572592</v>
      </c>
      <c r="Z99" s="2">
        <f t="shared" si="253"/>
        <v>138.92616252213384</v>
      </c>
      <c r="AA99" s="2">
        <f t="shared" si="254"/>
        <v>134.0550497772353</v>
      </c>
      <c r="AB99" s="2">
        <f t="shared" si="255"/>
        <v>129.54021978713757</v>
      </c>
      <c r="AC99" s="2">
        <f t="shared" si="256"/>
        <v>125.35799692487305</v>
      </c>
      <c r="AD99" s="2">
        <f t="shared" si="257"/>
        <v>121.48111024031043</v>
      </c>
      <c r="AE99" s="2">
        <f t="shared" si="258"/>
        <v>117.8789944598515</v>
      </c>
      <c r="AF99" s="2">
        <f t="shared" si="259"/>
        <v>114.51812485229169</v>
      </c>
      <c r="AG99" s="2">
        <f t="shared" si="260"/>
        <v>111.36238229332254</v>
      </c>
      <c r="AH99" s="2">
        <f t="shared" si="261"/>
        <v>108.37344462730431</v>
      </c>
      <c r="AI99" s="2">
        <f t="shared" si="262"/>
        <v>105.51120022948581</v>
      </c>
      <c r="AJ99" s="2">
        <f t="shared" si="263"/>
        <v>102.73417951291933</v>
      </c>
      <c r="AK99" s="2">
        <f t="shared" si="141"/>
        <v>100</v>
      </c>
      <c r="AL99" s="16"/>
      <c r="AM99" s="37">
        <v>1.6666666666666666E-2</v>
      </c>
      <c r="AN99" s="2">
        <f t="shared" si="142"/>
        <v>-1076400000</v>
      </c>
      <c r="AO99" s="2">
        <f t="shared" si="143"/>
        <v>-1038316738.3735276</v>
      </c>
      <c r="AP99" s="2">
        <f t="shared" si="144"/>
        <v>-1000389529.0927759</v>
      </c>
      <c r="AQ99" s="2">
        <f t="shared" si="145"/>
        <v>-962772676.40792739</v>
      </c>
      <c r="AR99" s="2">
        <f t="shared" si="146"/>
        <v>-925617009.21052885</v>
      </c>
      <c r="AS99" s="2">
        <f t="shared" si="147"/>
        <v>-889068195.13324547</v>
      </c>
      <c r="AT99" s="2">
        <f t="shared" si="148"/>
        <v>-853265115.94538701</v>
      </c>
      <c r="AU99" s="2">
        <f t="shared" si="149"/>
        <v>-818338323.2971015</v>
      </c>
      <c r="AV99" s="2">
        <f t="shared" si="150"/>
        <v>-784408592.72140348</v>
      </c>
      <c r="AW99" s="2">
        <f t="shared" si="151"/>
        <v>-751585592.41994822</v>
      </c>
      <c r="AX99" s="2">
        <f t="shared" si="152"/>
        <v>-719966681.76432419</v>
      </c>
      <c r="AY99" s="2">
        <f t="shared" si="153"/>
        <v>-689635852.67194176</v>
      </c>
      <c r="AZ99" s="2">
        <f t="shared" si="154"/>
        <v>-660662825.0991627</v>
      </c>
      <c r="BA99" s="2">
        <f t="shared" si="155"/>
        <v>-633102305.87062538</v>
      </c>
      <c r="BB99" s="2">
        <f t="shared" si="156"/>
        <v>-606993417.96955168</v>
      </c>
      <c r="BC99" s="2">
        <f t="shared" si="157"/>
        <v>-582359305.28550243</v>
      </c>
      <c r="BD99" s="2">
        <f t="shared" si="158"/>
        <v>-559206915.68819964</v>
      </c>
      <c r="BE99" s="2">
        <f t="shared" si="159"/>
        <v>-537526963.20091748</v>
      </c>
      <c r="BF99" s="2">
        <f t="shared" si="160"/>
        <v>-517294068.01358461</v>
      </c>
      <c r="BG99" s="2">
        <f t="shared" si="161"/>
        <v>-498467071.12941611</v>
      </c>
      <c r="BH99" s="2">
        <f t="shared" si="162"/>
        <v>-480989518.60072005</v>
      </c>
      <c r="BI99" s="2">
        <f t="shared" si="163"/>
        <v>-464790308.59624964</v>
      </c>
      <c r="BJ99" s="2">
        <f t="shared" si="164"/>
        <v>-449784492.96644449</v>
      </c>
      <c r="BK99" s="2">
        <f t="shared" si="165"/>
        <v>-435874223.54223382</v>
      </c>
      <c r="BL99" s="2">
        <f t="shared" si="166"/>
        <v>-422949832.12194717</v>
      </c>
      <c r="BM99" s="2">
        <f t="shared" si="167"/>
        <v>-410891031.9700225</v>
      </c>
      <c r="BN99" s="2">
        <f t="shared" si="168"/>
        <v>-399568227.66844124</v>
      </c>
      <c r="BO99" s="2">
        <f t="shared" si="169"/>
        <v>-388843919.32276785</v>
      </c>
      <c r="BP99" s="2">
        <f t="shared" si="170"/>
        <v>-378574186.42339498</v>
      </c>
      <c r="BQ99" s="2">
        <f t="shared" si="171"/>
        <v>-368610236.09235454</v>
      </c>
      <c r="BR99" s="2">
        <f t="shared" si="172"/>
        <v>-358800000</v>
      </c>
      <c r="BT99" s="16"/>
      <c r="BU99" s="37">
        <v>1.6666666666666666E-2</v>
      </c>
      <c r="BV99" s="2">
        <f t="shared" si="173"/>
        <v>0.40657464742411625</v>
      </c>
      <c r="BW99" s="2">
        <f t="shared" si="174"/>
        <v>0.40657464742411625</v>
      </c>
      <c r="BX99" s="2">
        <f t="shared" si="175"/>
        <v>0.40657464742411625</v>
      </c>
      <c r="BY99" s="2">
        <f t="shared" si="176"/>
        <v>0.40657464742411625</v>
      </c>
      <c r="BZ99" s="2">
        <f t="shared" si="177"/>
        <v>0.40657464742411625</v>
      </c>
      <c r="CA99" s="2">
        <f t="shared" si="178"/>
        <v>0.40657464742411625</v>
      </c>
      <c r="CB99" s="2">
        <f t="shared" si="179"/>
        <v>0.40657464742411625</v>
      </c>
      <c r="CC99" s="2">
        <f t="shared" si="180"/>
        <v>0.40657464742411625</v>
      </c>
      <c r="CD99" s="2">
        <f t="shared" si="181"/>
        <v>0.40657464742411625</v>
      </c>
      <c r="CE99" s="2">
        <f t="shared" si="182"/>
        <v>0.40657464742411625</v>
      </c>
      <c r="CF99" s="2">
        <f t="shared" si="183"/>
        <v>0.40657464742411625</v>
      </c>
      <c r="CG99" s="2">
        <f t="shared" si="184"/>
        <v>0.40657464742411625</v>
      </c>
      <c r="CH99" s="2">
        <f t="shared" si="185"/>
        <v>0.40657464742411625</v>
      </c>
      <c r="CI99" s="2">
        <f t="shared" si="186"/>
        <v>0.40657464742411625</v>
      </c>
      <c r="CJ99" s="2">
        <f t="shared" si="187"/>
        <v>0.40657464742411625</v>
      </c>
      <c r="CK99" s="2">
        <f t="shared" si="188"/>
        <v>0.40657464742411625</v>
      </c>
      <c r="CL99" s="2">
        <f t="shared" si="189"/>
        <v>0.40657464742411625</v>
      </c>
      <c r="CM99" s="2">
        <f t="shared" si="190"/>
        <v>0.40657464742411625</v>
      </c>
      <c r="CN99" s="2">
        <f t="shared" si="191"/>
        <v>0.40657464742411625</v>
      </c>
      <c r="CO99" s="2">
        <f t="shared" si="192"/>
        <v>0.40657464742411625</v>
      </c>
      <c r="CP99" s="2">
        <f t="shared" si="193"/>
        <v>0.40657464742411625</v>
      </c>
      <c r="CQ99" s="2">
        <f t="shared" si="194"/>
        <v>0.40657464742411625</v>
      </c>
      <c r="CR99" s="2">
        <f t="shared" si="195"/>
        <v>0.40657464742411625</v>
      </c>
      <c r="CS99" s="2">
        <f t="shared" si="196"/>
        <v>0.40657464742411625</v>
      </c>
      <c r="CT99" s="2">
        <f t="shared" si="197"/>
        <v>0.40657464742411625</v>
      </c>
      <c r="CU99" s="2">
        <f t="shared" si="198"/>
        <v>0.40657464742411625</v>
      </c>
      <c r="CV99" s="2">
        <f t="shared" si="199"/>
        <v>0.40657464742411625</v>
      </c>
      <c r="CW99" s="2">
        <f t="shared" si="200"/>
        <v>0.40657464742411625</v>
      </c>
      <c r="CX99" s="2">
        <f t="shared" si="201"/>
        <v>0.40657464742411625</v>
      </c>
      <c r="CY99" s="2">
        <f t="shared" si="202"/>
        <v>0.40657464742411625</v>
      </c>
      <c r="CZ99" s="2">
        <f t="shared" si="203"/>
        <v>0.40657464742411625</v>
      </c>
      <c r="DB99" s="16"/>
      <c r="DC99" s="37">
        <v>1.6666666666666666E-2</v>
      </c>
      <c r="DD99" s="2">
        <f t="shared" si="204"/>
        <v>178.02760577276516</v>
      </c>
      <c r="DE99" s="2">
        <f t="shared" si="205"/>
        <v>171.72895110221637</v>
      </c>
      <c r="DF99" s="2">
        <f t="shared" si="206"/>
        <v>165.45610619150023</v>
      </c>
      <c r="DG99" s="2">
        <f t="shared" si="207"/>
        <v>159.23459167998928</v>
      </c>
      <c r="DH99" s="2">
        <f t="shared" si="208"/>
        <v>153.08935341164801</v>
      </c>
      <c r="DI99" s="2">
        <f t="shared" si="209"/>
        <v>147.04448360115686</v>
      </c>
      <c r="DJ99" s="2">
        <f t="shared" si="210"/>
        <v>141.12295213784657</v>
      </c>
      <c r="DK99" s="2">
        <f t="shared" si="211"/>
        <v>135.34635117863434</v>
      </c>
      <c r="DL99" s="2">
        <f t="shared" si="212"/>
        <v>129.73465599198764</v>
      </c>
      <c r="DM99" s="2">
        <f t="shared" si="213"/>
        <v>124.30600478616562</v>
      </c>
      <c r="DN99" s="2">
        <f t="shared" si="214"/>
        <v>119.07649999132754</v>
      </c>
      <c r="DO99" s="2">
        <f t="shared" si="215"/>
        <v>114.06003317191116</v>
      </c>
      <c r="DP99" s="2">
        <f t="shared" si="216"/>
        <v>109.26813542872075</v>
      </c>
      <c r="DQ99" s="2">
        <f t="shared" si="217"/>
        <v>104.7098548154629</v>
      </c>
      <c r="DR99" s="2">
        <f t="shared" si="218"/>
        <v>100.39166194811092</v>
      </c>
      <c r="DS99" s="2">
        <f t="shared" si="219"/>
        <v>96.317384633471576</v>
      </c>
      <c r="DT99" s="2">
        <f t="shared" si="220"/>
        <v>92.488171991399767</v>
      </c>
      <c r="DU99" s="2">
        <f t="shared" si="221"/>
        <v>88.902488198592138</v>
      </c>
      <c r="DV99" s="2">
        <f t="shared" si="222"/>
        <v>85.556135645589364</v>
      </c>
      <c r="DW99" s="2">
        <f t="shared" si="223"/>
        <v>82.442306976711791</v>
      </c>
      <c r="DX99" s="2">
        <f t="shared" si="224"/>
        <v>79.551665178633485</v>
      </c>
      <c r="DY99" s="2">
        <f t="shared" si="225"/>
        <v>76.872450599939583</v>
      </c>
      <c r="DZ99" s="2">
        <f t="shared" si="226"/>
        <v>74.39061352334933</v>
      </c>
      <c r="EA99" s="2">
        <f t="shared" si="227"/>
        <v>72.089970675666009</v>
      </c>
      <c r="EB99" s="2">
        <f t="shared" si="228"/>
        <v>69.952383848628017</v>
      </c>
      <c r="EC99" s="2">
        <f t="shared" si="229"/>
        <v>67.957958616800255</v>
      </c>
      <c r="ED99" s="2">
        <f t="shared" si="230"/>
        <v>66.085260976105275</v>
      </c>
      <c r="EE99" s="2">
        <f t="shared" si="231"/>
        <v>64.311549587821077</v>
      </c>
      <c r="EF99" s="2">
        <f t="shared" si="232"/>
        <v>62.613021196887274</v>
      </c>
      <c r="EG99" s="2">
        <f t="shared" si="233"/>
        <v>60.965066699048286</v>
      </c>
      <c r="EH99" s="2">
        <f t="shared" si="234"/>
        <v>59.342535257588374</v>
      </c>
    </row>
    <row r="100" spans="5:138">
      <c r="E100" s="18"/>
      <c r="F100" s="37">
        <v>1.3333333333333334E-2</v>
      </c>
      <c r="G100" s="2">
        <f t="shared" si="139"/>
        <v>300</v>
      </c>
      <c r="H100" s="2">
        <f t="shared" si="235"/>
        <v>289.38593600154059</v>
      </c>
      <c r="I100" s="2">
        <f t="shared" si="236"/>
        <v>278.81536485305907</v>
      </c>
      <c r="J100" s="2">
        <f t="shared" si="237"/>
        <v>268.33129219841896</v>
      </c>
      <c r="K100" s="2">
        <f t="shared" si="238"/>
        <v>257.97575507539818</v>
      </c>
      <c r="L100" s="2">
        <f t="shared" si="239"/>
        <v>247.78935204382532</v>
      </c>
      <c r="M100" s="2">
        <f t="shared" si="240"/>
        <v>237.81079039726501</v>
      </c>
      <c r="N100" s="2">
        <f t="shared" si="241"/>
        <v>228.07645576842293</v>
      </c>
      <c r="O100" s="2">
        <f t="shared" si="242"/>
        <v>218.62000911967766</v>
      </c>
      <c r="P100" s="2">
        <f t="shared" si="243"/>
        <v>209.47201572462325</v>
      </c>
      <c r="Q100" s="2">
        <f t="shared" si="244"/>
        <v>200.65961030220853</v>
      </c>
      <c r="R100" s="2">
        <f t="shared" si="245"/>
        <v>192.20620197099828</v>
      </c>
      <c r="S100" s="2">
        <f t="shared" si="246"/>
        <v>184.13122215695731</v>
      </c>
      <c r="T100" s="2">
        <f t="shared" si="247"/>
        <v>176.4499180241431</v>
      </c>
      <c r="U100" s="2">
        <f t="shared" si="248"/>
        <v>169.17319341403334</v>
      </c>
      <c r="V100" s="2">
        <f t="shared" si="249"/>
        <v>162.30749868603746</v>
      </c>
      <c r="W100" s="2">
        <f t="shared" si="250"/>
        <v>155.85477025869554</v>
      </c>
      <c r="X100" s="2">
        <f t="shared" si="251"/>
        <v>149.81242006714535</v>
      </c>
      <c r="Y100" s="2">
        <f t="shared" si="252"/>
        <v>144.17337458572592</v>
      </c>
      <c r="Z100" s="2">
        <f t="shared" si="253"/>
        <v>138.92616252213384</v>
      </c>
      <c r="AA100" s="2">
        <f t="shared" si="254"/>
        <v>134.05504977723524</v>
      </c>
      <c r="AB100" s="2">
        <f t="shared" si="255"/>
        <v>129.54021978713754</v>
      </c>
      <c r="AC100" s="2">
        <f t="shared" si="256"/>
        <v>125.35799692487302</v>
      </c>
      <c r="AD100" s="2">
        <f t="shared" si="257"/>
        <v>121.4811102403104</v>
      </c>
      <c r="AE100" s="2">
        <f t="shared" si="258"/>
        <v>117.87899445985147</v>
      </c>
      <c r="AF100" s="2">
        <f t="shared" si="259"/>
        <v>114.51812485229166</v>
      </c>
      <c r="AG100" s="2">
        <f t="shared" si="260"/>
        <v>111.36238229332253</v>
      </c>
      <c r="AH100" s="2">
        <f t="shared" si="261"/>
        <v>108.37344462730431</v>
      </c>
      <c r="AI100" s="2">
        <f t="shared" si="262"/>
        <v>105.51120022948579</v>
      </c>
      <c r="AJ100" s="2">
        <f t="shared" si="263"/>
        <v>102.73417951291933</v>
      </c>
      <c r="AK100" s="2">
        <f t="shared" si="141"/>
        <v>100</v>
      </c>
      <c r="AL100" s="16"/>
      <c r="AM100" s="37">
        <v>1.3333333333333334E-2</v>
      </c>
      <c r="AN100" s="2">
        <f t="shared" si="142"/>
        <v>-1076400000</v>
      </c>
      <c r="AO100" s="2">
        <f t="shared" si="143"/>
        <v>-1038316738.3735276</v>
      </c>
      <c r="AP100" s="2">
        <f t="shared" si="144"/>
        <v>-1000389529.0927757</v>
      </c>
      <c r="AQ100" s="2">
        <f t="shared" si="145"/>
        <v>-962772676.40792727</v>
      </c>
      <c r="AR100" s="2">
        <f t="shared" si="146"/>
        <v>-925617009.21052873</v>
      </c>
      <c r="AS100" s="2">
        <f t="shared" si="147"/>
        <v>-889068195.13324523</v>
      </c>
      <c r="AT100" s="2">
        <f t="shared" si="148"/>
        <v>-853265115.94538689</v>
      </c>
      <c r="AU100" s="2">
        <f t="shared" si="149"/>
        <v>-818338323.29710126</v>
      </c>
      <c r="AV100" s="2">
        <f t="shared" si="150"/>
        <v>-784408592.72140348</v>
      </c>
      <c r="AW100" s="2">
        <f t="shared" si="151"/>
        <v>-751585592.41994822</v>
      </c>
      <c r="AX100" s="2">
        <f t="shared" si="152"/>
        <v>-719966681.76432419</v>
      </c>
      <c r="AY100" s="2">
        <f t="shared" si="153"/>
        <v>-689635852.67194176</v>
      </c>
      <c r="AZ100" s="2">
        <f t="shared" si="154"/>
        <v>-660662825.0991627</v>
      </c>
      <c r="BA100" s="2">
        <f t="shared" si="155"/>
        <v>-633102305.87062538</v>
      </c>
      <c r="BB100" s="2">
        <f t="shared" si="156"/>
        <v>-606993417.96955156</v>
      </c>
      <c r="BC100" s="2">
        <f t="shared" si="157"/>
        <v>-582359305.28550231</v>
      </c>
      <c r="BD100" s="2">
        <f t="shared" si="158"/>
        <v>-559206915.68819952</v>
      </c>
      <c r="BE100" s="2">
        <f t="shared" si="159"/>
        <v>-537526963.20091736</v>
      </c>
      <c r="BF100" s="2">
        <f t="shared" si="160"/>
        <v>-517294068.01358461</v>
      </c>
      <c r="BG100" s="2">
        <f t="shared" si="161"/>
        <v>-498467071.12941611</v>
      </c>
      <c r="BH100" s="2">
        <f t="shared" si="162"/>
        <v>-480989518.60072005</v>
      </c>
      <c r="BI100" s="2">
        <f t="shared" si="163"/>
        <v>-464790308.5962494</v>
      </c>
      <c r="BJ100" s="2">
        <f t="shared" si="164"/>
        <v>-449784492.96644437</v>
      </c>
      <c r="BK100" s="2">
        <f t="shared" si="165"/>
        <v>-435874223.54223371</v>
      </c>
      <c r="BL100" s="2">
        <f t="shared" si="166"/>
        <v>-422949832.12194705</v>
      </c>
      <c r="BM100" s="2">
        <f t="shared" si="167"/>
        <v>-410891031.9700225</v>
      </c>
      <c r="BN100" s="2">
        <f t="shared" si="168"/>
        <v>-399568227.66844124</v>
      </c>
      <c r="BO100" s="2">
        <f t="shared" si="169"/>
        <v>-388843919.32276785</v>
      </c>
      <c r="BP100" s="2">
        <f t="shared" si="170"/>
        <v>-378574186.42339498</v>
      </c>
      <c r="BQ100" s="2">
        <f t="shared" si="171"/>
        <v>-368610236.09235454</v>
      </c>
      <c r="BR100" s="2">
        <f t="shared" si="172"/>
        <v>-358800000</v>
      </c>
      <c r="BT100" s="16"/>
      <c r="BU100" s="37">
        <v>1.3333333333333334E-2</v>
      </c>
      <c r="BV100" s="2">
        <f t="shared" si="173"/>
        <v>0.40709372886650147</v>
      </c>
      <c r="BW100" s="2">
        <f t="shared" si="174"/>
        <v>0.40709372886650147</v>
      </c>
      <c r="BX100" s="2">
        <f t="shared" si="175"/>
        <v>0.40709372886650147</v>
      </c>
      <c r="BY100" s="2">
        <f t="shared" si="176"/>
        <v>0.40709372886650147</v>
      </c>
      <c r="BZ100" s="2">
        <f t="shared" si="177"/>
        <v>0.40709372886650147</v>
      </c>
      <c r="CA100" s="2">
        <f t="shared" si="178"/>
        <v>0.40709372886650147</v>
      </c>
      <c r="CB100" s="2">
        <f t="shared" si="179"/>
        <v>0.40709372886650147</v>
      </c>
      <c r="CC100" s="2">
        <f t="shared" si="180"/>
        <v>0.40709372886650147</v>
      </c>
      <c r="CD100" s="2">
        <f t="shared" si="181"/>
        <v>0.40709372886650147</v>
      </c>
      <c r="CE100" s="2">
        <f t="shared" si="182"/>
        <v>0.40709372886650147</v>
      </c>
      <c r="CF100" s="2">
        <f t="shared" si="183"/>
        <v>0.40709372886650147</v>
      </c>
      <c r="CG100" s="2">
        <f t="shared" si="184"/>
        <v>0.40709372886650147</v>
      </c>
      <c r="CH100" s="2">
        <f t="shared" si="185"/>
        <v>0.40709372886650147</v>
      </c>
      <c r="CI100" s="2">
        <f t="shared" si="186"/>
        <v>0.40709372886650147</v>
      </c>
      <c r="CJ100" s="2">
        <f t="shared" si="187"/>
        <v>0.40709372886650147</v>
      </c>
      <c r="CK100" s="2">
        <f t="shared" si="188"/>
        <v>0.40709372886650147</v>
      </c>
      <c r="CL100" s="2">
        <f t="shared" si="189"/>
        <v>0.40709372886650147</v>
      </c>
      <c r="CM100" s="2">
        <f t="shared" si="190"/>
        <v>0.40709372886650147</v>
      </c>
      <c r="CN100" s="2">
        <f t="shared" si="191"/>
        <v>0.40709372886650147</v>
      </c>
      <c r="CO100" s="2">
        <f t="shared" si="192"/>
        <v>0.40709372886650147</v>
      </c>
      <c r="CP100" s="2">
        <f t="shared" si="193"/>
        <v>0.40709372886650147</v>
      </c>
      <c r="CQ100" s="2">
        <f t="shared" si="194"/>
        <v>0.40709372886650147</v>
      </c>
      <c r="CR100" s="2">
        <f t="shared" si="195"/>
        <v>0.40709372886650147</v>
      </c>
      <c r="CS100" s="2">
        <f t="shared" si="196"/>
        <v>0.40709372886650147</v>
      </c>
      <c r="CT100" s="2">
        <f t="shared" si="197"/>
        <v>0.40709372886650147</v>
      </c>
      <c r="CU100" s="2">
        <f t="shared" si="198"/>
        <v>0.40709372886650147</v>
      </c>
      <c r="CV100" s="2">
        <f t="shared" si="199"/>
        <v>0.40709372886650147</v>
      </c>
      <c r="CW100" s="2">
        <f t="shared" si="200"/>
        <v>0.40709372886650147</v>
      </c>
      <c r="CX100" s="2">
        <f t="shared" si="201"/>
        <v>0.40709372886650147</v>
      </c>
      <c r="CY100" s="2">
        <f t="shared" si="202"/>
        <v>0.40709372886650147</v>
      </c>
      <c r="CZ100" s="2">
        <f t="shared" si="203"/>
        <v>0.40709372886650147</v>
      </c>
      <c r="DB100" s="16"/>
      <c r="DC100" s="37">
        <v>1.3333333333333334E-2</v>
      </c>
      <c r="DD100" s="2">
        <f t="shared" si="204"/>
        <v>177.87188134004958</v>
      </c>
      <c r="DE100" s="2">
        <f t="shared" si="205"/>
        <v>171.57873623315069</v>
      </c>
      <c r="DF100" s="2">
        <f t="shared" si="206"/>
        <v>165.31137830975314</v>
      </c>
      <c r="DG100" s="2">
        <f t="shared" si="207"/>
        <v>159.09530588579781</v>
      </c>
      <c r="DH100" s="2">
        <f t="shared" si="208"/>
        <v>152.95544298460305</v>
      </c>
      <c r="DI100" s="2">
        <f t="shared" si="209"/>
        <v>146.91586074689019</v>
      </c>
      <c r="DJ100" s="2">
        <f t="shared" si="210"/>
        <v>140.99950896975238</v>
      </c>
      <c r="DK100" s="2">
        <f t="shared" si="211"/>
        <v>135.22796092299993</v>
      </c>
      <c r="DL100" s="2">
        <f t="shared" si="212"/>
        <v>129.62117440231953</v>
      </c>
      <c r="DM100" s="2">
        <f t="shared" si="213"/>
        <v>124.19727175010394</v>
      </c>
      <c r="DN100" s="2">
        <f t="shared" si="214"/>
        <v>118.9723413113834</v>
      </c>
      <c r="DO100" s="2">
        <f t="shared" si="215"/>
        <v>113.96026249935667</v>
      </c>
      <c r="DP100" s="2">
        <f t="shared" si="216"/>
        <v>109.17255632833538</v>
      </c>
      <c r="DQ100" s="2">
        <f t="shared" si="217"/>
        <v>104.61826293750617</v>
      </c>
      <c r="DR100" s="2">
        <f t="shared" si="218"/>
        <v>100.30384728286063</v>
      </c>
      <c r="DS100" s="2">
        <f t="shared" si="219"/>
        <v>96.233133822943671</v>
      </c>
      <c r="DT100" s="2">
        <f t="shared" si="220"/>
        <v>92.407270672451247</v>
      </c>
      <c r="DU100" s="2">
        <f t="shared" si="221"/>
        <v>88.824723351496445</v>
      </c>
      <c r="DV100" s="2">
        <f t="shared" si="222"/>
        <v>85.481297922355864</v>
      </c>
      <c r="DW100" s="2">
        <f t="shared" si="223"/>
        <v>82.370192983884763</v>
      </c>
      <c r="DX100" s="2">
        <f t="shared" si="224"/>
        <v>79.482079690036073</v>
      </c>
      <c r="DY100" s="2">
        <f t="shared" si="225"/>
        <v>76.805208675805545</v>
      </c>
      <c r="DZ100" s="2">
        <f t="shared" si="226"/>
        <v>74.32554251349103</v>
      </c>
      <c r="EA100" s="2">
        <f t="shared" si="227"/>
        <v>72.026912085739895</v>
      </c>
      <c r="EB100" s="2">
        <f t="shared" si="228"/>
        <v>69.891195050156853</v>
      </c>
      <c r="EC100" s="2">
        <f t="shared" si="229"/>
        <v>67.898514383372671</v>
      </c>
      <c r="ED100" s="2">
        <f t="shared" si="230"/>
        <v>66.027454830077005</v>
      </c>
      <c r="EE100" s="2">
        <f t="shared" si="231"/>
        <v>64.255294943867668</v>
      </c>
      <c r="EF100" s="2">
        <f t="shared" si="232"/>
        <v>62.558252290884354</v>
      </c>
      <c r="EG100" s="2">
        <f t="shared" si="233"/>
        <v>60.911739292964455</v>
      </c>
      <c r="EH100" s="2">
        <f t="shared" si="234"/>
        <v>59.290627113349856</v>
      </c>
    </row>
    <row r="101" spans="5:138">
      <c r="E101" s="18"/>
      <c r="F101" s="37">
        <v>0.01</v>
      </c>
      <c r="G101" s="2">
        <f t="shared" si="139"/>
        <v>300</v>
      </c>
      <c r="H101" s="2">
        <f t="shared" si="235"/>
        <v>289.38593600154059</v>
      </c>
      <c r="I101" s="2">
        <f t="shared" si="236"/>
        <v>278.81536485305901</v>
      </c>
      <c r="J101" s="2">
        <f t="shared" si="237"/>
        <v>268.33129219841896</v>
      </c>
      <c r="K101" s="2">
        <f t="shared" si="238"/>
        <v>257.97575507539813</v>
      </c>
      <c r="L101" s="2">
        <f t="shared" si="239"/>
        <v>247.78935204382526</v>
      </c>
      <c r="M101" s="2">
        <f t="shared" si="240"/>
        <v>237.81079039726492</v>
      </c>
      <c r="N101" s="2">
        <f t="shared" si="241"/>
        <v>228.07645576842287</v>
      </c>
      <c r="O101" s="2">
        <f t="shared" si="242"/>
        <v>218.6200091196776</v>
      </c>
      <c r="P101" s="2">
        <f t="shared" si="243"/>
        <v>209.47201572462319</v>
      </c>
      <c r="Q101" s="2">
        <f t="shared" si="244"/>
        <v>200.65961030220848</v>
      </c>
      <c r="R101" s="2">
        <f t="shared" si="245"/>
        <v>192.20620197099822</v>
      </c>
      <c r="S101" s="2">
        <f t="shared" si="246"/>
        <v>184.13122215695728</v>
      </c>
      <c r="T101" s="2">
        <f t="shared" si="247"/>
        <v>176.44991802414307</v>
      </c>
      <c r="U101" s="2">
        <f t="shared" si="248"/>
        <v>169.17319341403331</v>
      </c>
      <c r="V101" s="2">
        <f t="shared" si="249"/>
        <v>162.30749868603743</v>
      </c>
      <c r="W101" s="2">
        <f t="shared" si="250"/>
        <v>155.85477025869551</v>
      </c>
      <c r="X101" s="2">
        <f t="shared" si="251"/>
        <v>149.81242006714533</v>
      </c>
      <c r="Y101" s="2">
        <f t="shared" si="252"/>
        <v>144.17337458572592</v>
      </c>
      <c r="Z101" s="2">
        <f t="shared" si="253"/>
        <v>138.92616252213381</v>
      </c>
      <c r="AA101" s="2">
        <f t="shared" si="254"/>
        <v>134.05504977723521</v>
      </c>
      <c r="AB101" s="2">
        <f t="shared" si="255"/>
        <v>129.54021978713752</v>
      </c>
      <c r="AC101" s="2">
        <f t="shared" si="256"/>
        <v>125.35799692487299</v>
      </c>
      <c r="AD101" s="2">
        <f t="shared" si="257"/>
        <v>121.48111024031036</v>
      </c>
      <c r="AE101" s="2">
        <f t="shared" si="258"/>
        <v>117.87899445985144</v>
      </c>
      <c r="AF101" s="2">
        <f t="shared" si="259"/>
        <v>114.51812485229163</v>
      </c>
      <c r="AG101" s="2">
        <f t="shared" si="260"/>
        <v>111.3623822933225</v>
      </c>
      <c r="AH101" s="2">
        <f t="shared" si="261"/>
        <v>108.37344462730428</v>
      </c>
      <c r="AI101" s="2">
        <f t="shared" si="262"/>
        <v>105.51120022948578</v>
      </c>
      <c r="AJ101" s="2">
        <f t="shared" si="263"/>
        <v>102.73417951291931</v>
      </c>
      <c r="AK101" s="2">
        <f t="shared" si="141"/>
        <v>100</v>
      </c>
      <c r="AL101" s="16"/>
      <c r="AM101" s="37">
        <v>0.01</v>
      </c>
      <c r="AN101" s="2">
        <f t="shared" si="142"/>
        <v>-1076400000</v>
      </c>
      <c r="AO101" s="2">
        <f t="shared" si="143"/>
        <v>-1038316738.3735276</v>
      </c>
      <c r="AP101" s="2">
        <f t="shared" si="144"/>
        <v>-1000389529.0927757</v>
      </c>
      <c r="AQ101" s="2">
        <f t="shared" si="145"/>
        <v>-962772676.40792727</v>
      </c>
      <c r="AR101" s="2">
        <f t="shared" si="146"/>
        <v>-925617009.21052849</v>
      </c>
      <c r="AS101" s="2">
        <f t="shared" si="147"/>
        <v>-889068195.13324499</v>
      </c>
      <c r="AT101" s="2">
        <f t="shared" si="148"/>
        <v>-853265115.94538665</v>
      </c>
      <c r="AU101" s="2">
        <f t="shared" si="149"/>
        <v>-818338323.29710102</v>
      </c>
      <c r="AV101" s="2">
        <f t="shared" si="150"/>
        <v>-784408592.72140324</v>
      </c>
      <c r="AW101" s="2">
        <f t="shared" si="151"/>
        <v>-751585592.41994798</v>
      </c>
      <c r="AX101" s="2">
        <f t="shared" si="152"/>
        <v>-719966681.76432407</v>
      </c>
      <c r="AY101" s="2">
        <f t="shared" si="153"/>
        <v>-689635852.67194164</v>
      </c>
      <c r="AZ101" s="2">
        <f t="shared" si="154"/>
        <v>-660662825.0991627</v>
      </c>
      <c r="BA101" s="2">
        <f t="shared" si="155"/>
        <v>-633102305.87062538</v>
      </c>
      <c r="BB101" s="2">
        <f t="shared" si="156"/>
        <v>-606993417.96955156</v>
      </c>
      <c r="BC101" s="2">
        <f t="shared" si="157"/>
        <v>-582359305.2855022</v>
      </c>
      <c r="BD101" s="2">
        <f t="shared" si="158"/>
        <v>-559206915.6881994</v>
      </c>
      <c r="BE101" s="2">
        <f t="shared" si="159"/>
        <v>-537526963.20091736</v>
      </c>
      <c r="BF101" s="2">
        <f t="shared" si="160"/>
        <v>-517294068.01358461</v>
      </c>
      <c r="BG101" s="2">
        <f t="shared" si="161"/>
        <v>-498467071.12941611</v>
      </c>
      <c r="BH101" s="2">
        <f t="shared" si="162"/>
        <v>-480989518.60071993</v>
      </c>
      <c r="BI101" s="2">
        <f t="shared" si="163"/>
        <v>-464790308.5962494</v>
      </c>
      <c r="BJ101" s="2">
        <f t="shared" si="164"/>
        <v>-449784492.96644425</v>
      </c>
      <c r="BK101" s="2">
        <f t="shared" si="165"/>
        <v>-435874223.54223359</v>
      </c>
      <c r="BL101" s="2">
        <f t="shared" si="166"/>
        <v>-422949832.12194699</v>
      </c>
      <c r="BM101" s="2">
        <f t="shared" si="167"/>
        <v>-410891031.97002238</v>
      </c>
      <c r="BN101" s="2">
        <f t="shared" si="168"/>
        <v>-399568227.66844112</v>
      </c>
      <c r="BO101" s="2">
        <f t="shared" si="169"/>
        <v>-388843919.32276779</v>
      </c>
      <c r="BP101" s="2">
        <f t="shared" si="170"/>
        <v>-378574186.42339492</v>
      </c>
      <c r="BQ101" s="2">
        <f t="shared" si="171"/>
        <v>-368610236.09235454</v>
      </c>
      <c r="BR101" s="2">
        <f t="shared" si="172"/>
        <v>-358800000</v>
      </c>
      <c r="BT101" s="16"/>
      <c r="BU101" s="37">
        <v>0.01</v>
      </c>
      <c r="BV101" s="2">
        <f t="shared" si="173"/>
        <v>0.41022990753415084</v>
      </c>
      <c r="BW101" s="2">
        <f t="shared" si="174"/>
        <v>0.41022990753415084</v>
      </c>
      <c r="BX101" s="2">
        <f t="shared" si="175"/>
        <v>0.41022990753415084</v>
      </c>
      <c r="BY101" s="2">
        <f t="shared" si="176"/>
        <v>0.41022990753415084</v>
      </c>
      <c r="BZ101" s="2">
        <f t="shared" si="177"/>
        <v>0.41022990753415084</v>
      </c>
      <c r="CA101" s="2">
        <f t="shared" si="178"/>
        <v>0.41022990753415084</v>
      </c>
      <c r="CB101" s="2">
        <f t="shared" si="179"/>
        <v>0.41022990753415084</v>
      </c>
      <c r="CC101" s="2">
        <f t="shared" si="180"/>
        <v>0.41022990753415084</v>
      </c>
      <c r="CD101" s="2">
        <f t="shared" si="181"/>
        <v>0.41022990753415084</v>
      </c>
      <c r="CE101" s="2">
        <f t="shared" si="182"/>
        <v>0.41022990753415084</v>
      </c>
      <c r="CF101" s="2">
        <f t="shared" si="183"/>
        <v>0.41022990753415084</v>
      </c>
      <c r="CG101" s="2">
        <f t="shared" si="184"/>
        <v>0.41022990753415084</v>
      </c>
      <c r="CH101" s="2">
        <f t="shared" si="185"/>
        <v>0.41022990753415084</v>
      </c>
      <c r="CI101" s="2">
        <f t="shared" si="186"/>
        <v>0.41022990753415084</v>
      </c>
      <c r="CJ101" s="2">
        <f t="shared" si="187"/>
        <v>0.41022990753415084</v>
      </c>
      <c r="CK101" s="2">
        <f t="shared" si="188"/>
        <v>0.41022990753415084</v>
      </c>
      <c r="CL101" s="2">
        <f t="shared" si="189"/>
        <v>0.41022990753415084</v>
      </c>
      <c r="CM101" s="2">
        <f t="shared" si="190"/>
        <v>0.41022990753415084</v>
      </c>
      <c r="CN101" s="2">
        <f t="shared" si="191"/>
        <v>0.41022990753415084</v>
      </c>
      <c r="CO101" s="2">
        <f t="shared" si="192"/>
        <v>0.41022990753415084</v>
      </c>
      <c r="CP101" s="2">
        <f t="shared" si="193"/>
        <v>0.41022990753415084</v>
      </c>
      <c r="CQ101" s="2">
        <f t="shared" si="194"/>
        <v>0.41022990753415084</v>
      </c>
      <c r="CR101" s="2">
        <f t="shared" si="195"/>
        <v>0.41022990753415084</v>
      </c>
      <c r="CS101" s="2">
        <f t="shared" si="196"/>
        <v>0.41022990753415084</v>
      </c>
      <c r="CT101" s="2">
        <f t="shared" si="197"/>
        <v>0.41022990753415084</v>
      </c>
      <c r="CU101" s="2">
        <f t="shared" si="198"/>
        <v>0.41022990753415084</v>
      </c>
      <c r="CV101" s="2">
        <f t="shared" si="199"/>
        <v>0.41022990753415084</v>
      </c>
      <c r="CW101" s="2">
        <f t="shared" si="200"/>
        <v>0.41022990753415084</v>
      </c>
      <c r="CX101" s="2">
        <f t="shared" si="201"/>
        <v>0.41022990753415084</v>
      </c>
      <c r="CY101" s="2">
        <f t="shared" si="202"/>
        <v>0.41022990753415084</v>
      </c>
      <c r="CZ101" s="2">
        <f t="shared" si="203"/>
        <v>0.41022990753415084</v>
      </c>
      <c r="DB101" s="16"/>
      <c r="DC101" s="37">
        <v>0.01</v>
      </c>
      <c r="DD101" s="2">
        <f t="shared" si="204"/>
        <v>176.93102773975474</v>
      </c>
      <c r="DE101" s="2">
        <f t="shared" si="205"/>
        <v>170.67117023394488</v>
      </c>
      <c r="DF101" s="2">
        <f t="shared" si="206"/>
        <v>164.43696351028805</v>
      </c>
      <c r="DG101" s="2">
        <f t="shared" si="207"/>
        <v>158.25377101134231</v>
      </c>
      <c r="DH101" s="2">
        <f t="shared" si="208"/>
        <v>152.14638492476479</v>
      </c>
      <c r="DI101" s="2">
        <f t="shared" si="209"/>
        <v>146.13874906693965</v>
      </c>
      <c r="DJ101" s="2">
        <f t="shared" si="210"/>
        <v>140.25369184197157</v>
      </c>
      <c r="DK101" s="2">
        <f t="shared" si="211"/>
        <v>134.51267240782587</v>
      </c>
      <c r="DL101" s="2">
        <f t="shared" si="212"/>
        <v>128.93554299339701</v>
      </c>
      <c r="DM101" s="2">
        <f t="shared" si="213"/>
        <v>123.5403300829188</v>
      </c>
      <c r="DN101" s="2">
        <f t="shared" si="214"/>
        <v>118.34303692209474</v>
      </c>
      <c r="DO101" s="2">
        <f t="shared" si="215"/>
        <v>113.35746950894529</v>
      </c>
      <c r="DP101" s="2">
        <f t="shared" si="216"/>
        <v>108.59508791735848</v>
      </c>
      <c r="DQ101" s="2">
        <f t="shared" si="217"/>
        <v>104.06488446869035</v>
      </c>
      <c r="DR101" s="2">
        <f t="shared" si="218"/>
        <v>99.773289922537401</v>
      </c>
      <c r="DS101" s="2">
        <f t="shared" si="219"/>
        <v>95.724108507964957</v>
      </c>
      <c r="DT101" s="2">
        <f t="shared" si="220"/>
        <v>91.918482266714506</v>
      </c>
      <c r="DU101" s="2">
        <f t="shared" si="221"/>
        <v>88.354884835532914</v>
      </c>
      <c r="DV101" s="2">
        <f t="shared" si="222"/>
        <v>85.029144460537069</v>
      </c>
      <c r="DW101" s="2">
        <f t="shared" si="223"/>
        <v>81.934495716604431</v>
      </c>
      <c r="DX101" s="2">
        <f t="shared" si="224"/>
        <v>79.06165910263401</v>
      </c>
      <c r="DY101" s="2">
        <f t="shared" si="225"/>
        <v>76.398947401906497</v>
      </c>
      <c r="DZ101" s="2">
        <f t="shared" si="226"/>
        <v>73.932397437715963</v>
      </c>
      <c r="EA101" s="2">
        <f t="shared" si="227"/>
        <v>71.64592561928184</v>
      </c>
      <c r="EB101" s="2">
        <f t="shared" si="228"/>
        <v>69.521505462367898</v>
      </c>
      <c r="EC101" s="2">
        <f t="shared" si="229"/>
        <v>67.539365083151694</v>
      </c>
      <c r="ED101" s="2">
        <f t="shared" si="230"/>
        <v>65.678202502350047</v>
      </c>
      <c r="EE101" s="2">
        <f t="shared" si="231"/>
        <v>63.915416458687822</v>
      </c>
      <c r="EF101" s="2">
        <f t="shared" si="232"/>
        <v>62.22735031552655</v>
      </c>
      <c r="EG101" s="2">
        <f t="shared" si="233"/>
        <v>60.589546550737566</v>
      </c>
      <c r="EH101" s="2">
        <f t="shared" si="234"/>
        <v>58.977009246584913</v>
      </c>
    </row>
    <row r="102" spans="5:138">
      <c r="E102" s="18"/>
      <c r="F102" s="37">
        <v>6.6666666666666671E-3</v>
      </c>
      <c r="G102" s="2">
        <f t="shared" si="139"/>
        <v>300</v>
      </c>
      <c r="H102" s="2">
        <f t="shared" si="235"/>
        <v>289.38593600154053</v>
      </c>
      <c r="I102" s="2">
        <f t="shared" si="236"/>
        <v>278.81536485305895</v>
      </c>
      <c r="J102" s="2">
        <f t="shared" si="237"/>
        <v>268.33129219841885</v>
      </c>
      <c r="K102" s="2">
        <f t="shared" si="238"/>
        <v>257.97575507539807</v>
      </c>
      <c r="L102" s="2">
        <f t="shared" si="239"/>
        <v>247.7893520438252</v>
      </c>
      <c r="M102" s="2">
        <f t="shared" si="240"/>
        <v>237.8107903972649</v>
      </c>
      <c r="N102" s="2">
        <f t="shared" si="241"/>
        <v>228.07645576842282</v>
      </c>
      <c r="O102" s="2">
        <f t="shared" si="242"/>
        <v>218.62000911967755</v>
      </c>
      <c r="P102" s="2">
        <f t="shared" si="243"/>
        <v>209.47201572462316</v>
      </c>
      <c r="Q102" s="2">
        <f t="shared" si="244"/>
        <v>200.65961030220848</v>
      </c>
      <c r="R102" s="2">
        <f t="shared" si="245"/>
        <v>192.20620197099822</v>
      </c>
      <c r="S102" s="2">
        <f t="shared" si="246"/>
        <v>184.13122215695722</v>
      </c>
      <c r="T102" s="2">
        <f t="shared" si="247"/>
        <v>176.44991802414305</v>
      </c>
      <c r="U102" s="2">
        <f t="shared" si="248"/>
        <v>169.17319341403328</v>
      </c>
      <c r="V102" s="2">
        <f t="shared" si="249"/>
        <v>162.30749868603738</v>
      </c>
      <c r="W102" s="2">
        <f t="shared" si="250"/>
        <v>155.85477025869545</v>
      </c>
      <c r="X102" s="2">
        <f t="shared" si="251"/>
        <v>149.8124200671453</v>
      </c>
      <c r="Y102" s="2">
        <f t="shared" si="252"/>
        <v>144.1733745857259</v>
      </c>
      <c r="Z102" s="2">
        <f t="shared" si="253"/>
        <v>138.92616252213378</v>
      </c>
      <c r="AA102" s="2">
        <f t="shared" si="254"/>
        <v>134.05504977723518</v>
      </c>
      <c r="AB102" s="2">
        <f t="shared" si="255"/>
        <v>129.54021978713749</v>
      </c>
      <c r="AC102" s="2">
        <f t="shared" si="256"/>
        <v>125.35799692487296</v>
      </c>
      <c r="AD102" s="2">
        <f t="shared" si="257"/>
        <v>121.48111024031033</v>
      </c>
      <c r="AE102" s="2">
        <f t="shared" si="258"/>
        <v>117.87899445985143</v>
      </c>
      <c r="AF102" s="2">
        <f t="shared" si="259"/>
        <v>114.51812485229161</v>
      </c>
      <c r="AG102" s="2">
        <f t="shared" si="260"/>
        <v>111.3623822933225</v>
      </c>
      <c r="AH102" s="2">
        <f t="shared" si="261"/>
        <v>108.37344462730428</v>
      </c>
      <c r="AI102" s="2">
        <f t="shared" si="262"/>
        <v>105.51120022948578</v>
      </c>
      <c r="AJ102" s="2">
        <f t="shared" si="263"/>
        <v>102.73417951291933</v>
      </c>
      <c r="AK102" s="2">
        <f t="shared" si="141"/>
        <v>100</v>
      </c>
      <c r="AL102" s="16"/>
      <c r="AM102" s="37">
        <v>6.6666666666666671E-3</v>
      </c>
      <c r="AN102" s="2">
        <f t="shared" si="142"/>
        <v>-1076400000</v>
      </c>
      <c r="AO102" s="2">
        <f t="shared" si="143"/>
        <v>-1038316738.3735274</v>
      </c>
      <c r="AP102" s="2">
        <f t="shared" si="144"/>
        <v>-1000389529.0927755</v>
      </c>
      <c r="AQ102" s="2">
        <f t="shared" si="145"/>
        <v>-962772676.4079268</v>
      </c>
      <c r="AR102" s="2">
        <f t="shared" si="146"/>
        <v>-925617009.21052825</v>
      </c>
      <c r="AS102" s="2">
        <f t="shared" si="147"/>
        <v>-889068195.13324487</v>
      </c>
      <c r="AT102" s="2">
        <f t="shared" si="148"/>
        <v>-853265115.94538641</v>
      </c>
      <c r="AU102" s="2">
        <f t="shared" si="149"/>
        <v>-818338323.2971009</v>
      </c>
      <c r="AV102" s="2">
        <f t="shared" si="150"/>
        <v>-784408592.721403</v>
      </c>
      <c r="AW102" s="2">
        <f t="shared" si="151"/>
        <v>-751585592.41994786</v>
      </c>
      <c r="AX102" s="2">
        <f t="shared" si="152"/>
        <v>-719966681.76432407</v>
      </c>
      <c r="AY102" s="2">
        <f t="shared" si="153"/>
        <v>-689635852.67194152</v>
      </c>
      <c r="AZ102" s="2">
        <f t="shared" si="154"/>
        <v>-660662825.09916246</v>
      </c>
      <c r="BA102" s="2">
        <f t="shared" si="155"/>
        <v>-633102305.87062514</v>
      </c>
      <c r="BB102" s="2">
        <f t="shared" si="156"/>
        <v>-606993417.96955144</v>
      </c>
      <c r="BC102" s="2">
        <f t="shared" si="157"/>
        <v>-582359305.28550208</v>
      </c>
      <c r="BD102" s="2">
        <f t="shared" si="158"/>
        <v>-559206915.68819928</v>
      </c>
      <c r="BE102" s="2">
        <f t="shared" si="159"/>
        <v>-537526963.20091724</v>
      </c>
      <c r="BF102" s="2">
        <f t="shared" si="160"/>
        <v>-517294068.01358443</v>
      </c>
      <c r="BG102" s="2">
        <f t="shared" si="161"/>
        <v>-498467071.12941599</v>
      </c>
      <c r="BH102" s="2">
        <f t="shared" si="162"/>
        <v>-480989518.60071981</v>
      </c>
      <c r="BI102" s="2">
        <f t="shared" si="163"/>
        <v>-464790308.59624928</v>
      </c>
      <c r="BJ102" s="2">
        <f t="shared" si="164"/>
        <v>-449784492.96644419</v>
      </c>
      <c r="BK102" s="2">
        <f t="shared" si="165"/>
        <v>-435874223.54223347</v>
      </c>
      <c r="BL102" s="2">
        <f t="shared" si="166"/>
        <v>-422949832.12194687</v>
      </c>
      <c r="BM102" s="2">
        <f t="shared" si="167"/>
        <v>-410891031.97002226</v>
      </c>
      <c r="BN102" s="2">
        <f t="shared" si="168"/>
        <v>-399568227.66844106</v>
      </c>
      <c r="BO102" s="2">
        <f t="shared" si="169"/>
        <v>-388843919.32276779</v>
      </c>
      <c r="BP102" s="2">
        <f t="shared" si="170"/>
        <v>-378574186.42339492</v>
      </c>
      <c r="BQ102" s="2">
        <f t="shared" si="171"/>
        <v>-368610236.09235454</v>
      </c>
      <c r="BR102" s="2">
        <f t="shared" si="172"/>
        <v>-358800000</v>
      </c>
      <c r="BT102" s="16"/>
      <c r="BU102" s="37">
        <v>6.6666666666666671E-3</v>
      </c>
      <c r="BV102" s="2">
        <f t="shared" si="173"/>
        <v>0.42900919305413682</v>
      </c>
      <c r="BW102" s="2">
        <f t="shared" si="174"/>
        <v>0.42900919305413682</v>
      </c>
      <c r="BX102" s="2">
        <f t="shared" si="175"/>
        <v>0.42900919305413682</v>
      </c>
      <c r="BY102" s="2">
        <f t="shared" si="176"/>
        <v>0.42900919305413682</v>
      </c>
      <c r="BZ102" s="2">
        <f t="shared" si="177"/>
        <v>0.42900919305413682</v>
      </c>
      <c r="CA102" s="2">
        <f t="shared" si="178"/>
        <v>0.42900919305413682</v>
      </c>
      <c r="CB102" s="2">
        <f t="shared" si="179"/>
        <v>0.42900919305413682</v>
      </c>
      <c r="CC102" s="2">
        <f t="shared" si="180"/>
        <v>0.42900919305413682</v>
      </c>
      <c r="CD102" s="2">
        <f t="shared" si="181"/>
        <v>0.42900919305413682</v>
      </c>
      <c r="CE102" s="2">
        <f t="shared" si="182"/>
        <v>0.42900919305413682</v>
      </c>
      <c r="CF102" s="2">
        <f t="shared" si="183"/>
        <v>0.42900919305413682</v>
      </c>
      <c r="CG102" s="2">
        <f t="shared" si="184"/>
        <v>0.42900919305413682</v>
      </c>
      <c r="CH102" s="2">
        <f t="shared" si="185"/>
        <v>0.42900919305413682</v>
      </c>
      <c r="CI102" s="2">
        <f t="shared" si="186"/>
        <v>0.42900919305413682</v>
      </c>
      <c r="CJ102" s="2">
        <f t="shared" si="187"/>
        <v>0.42900919305413682</v>
      </c>
      <c r="CK102" s="2">
        <f t="shared" si="188"/>
        <v>0.42900919305413682</v>
      </c>
      <c r="CL102" s="2">
        <f t="shared" si="189"/>
        <v>0.42900919305413682</v>
      </c>
      <c r="CM102" s="2">
        <f t="shared" si="190"/>
        <v>0.42900919305413682</v>
      </c>
      <c r="CN102" s="2">
        <f t="shared" si="191"/>
        <v>0.42900919305413682</v>
      </c>
      <c r="CO102" s="2">
        <f t="shared" si="192"/>
        <v>0.42900919305413682</v>
      </c>
      <c r="CP102" s="2">
        <f t="shared" si="193"/>
        <v>0.42900919305413682</v>
      </c>
      <c r="CQ102" s="2">
        <f t="shared" si="194"/>
        <v>0.42900919305413682</v>
      </c>
      <c r="CR102" s="2">
        <f t="shared" si="195"/>
        <v>0.42900919305413682</v>
      </c>
      <c r="CS102" s="2">
        <f t="shared" si="196"/>
        <v>0.42900919305413682</v>
      </c>
      <c r="CT102" s="2">
        <f t="shared" si="197"/>
        <v>0.42900919305413682</v>
      </c>
      <c r="CU102" s="2">
        <f t="shared" si="198"/>
        <v>0.42900919305413682</v>
      </c>
      <c r="CV102" s="2">
        <f t="shared" si="199"/>
        <v>0.42900919305413682</v>
      </c>
      <c r="CW102" s="2">
        <f t="shared" si="200"/>
        <v>0.42900919305413682</v>
      </c>
      <c r="CX102" s="2">
        <f t="shared" si="201"/>
        <v>0.42900919305413682</v>
      </c>
      <c r="CY102" s="2">
        <f t="shared" si="202"/>
        <v>0.42900919305413682</v>
      </c>
      <c r="CZ102" s="2">
        <f t="shared" si="203"/>
        <v>0.42900919305413682</v>
      </c>
      <c r="DB102" s="16"/>
      <c r="DC102" s="37">
        <v>6.6666666666666671E-3</v>
      </c>
      <c r="DD102" s="2">
        <f t="shared" si="204"/>
        <v>171.29724208375893</v>
      </c>
      <c r="DE102" s="2">
        <f t="shared" si="205"/>
        <v>165.23670911630353</v>
      </c>
      <c r="DF102" s="2">
        <f t="shared" si="206"/>
        <v>159.20101016635337</v>
      </c>
      <c r="DG102" s="2">
        <f t="shared" si="207"/>
        <v>153.21470106120137</v>
      </c>
      <c r="DH102" s="2">
        <f t="shared" si="208"/>
        <v>147.30178456296989</v>
      </c>
      <c r="DI102" s="2">
        <f t="shared" si="209"/>
        <v>141.48544207609632</v>
      </c>
      <c r="DJ102" s="2">
        <f t="shared" si="210"/>
        <v>135.7877751093678</v>
      </c>
      <c r="DK102" s="2">
        <f t="shared" si="211"/>
        <v>130.22955952456419</v>
      </c>
      <c r="DL102" s="2">
        <f t="shared" si="212"/>
        <v>124.83001542175664</v>
      </c>
      <c r="DM102" s="2">
        <f t="shared" si="213"/>
        <v>119.6065952911791</v>
      </c>
      <c r="DN102" s="2">
        <f t="shared" si="214"/>
        <v>114.57479280790045</v>
      </c>
      <c r="DO102" s="2">
        <f t="shared" si="215"/>
        <v>109.74797436341981</v>
      </c>
      <c r="DP102" s="2">
        <f t="shared" si="216"/>
        <v>105.13723512332899</v>
      </c>
      <c r="DQ102" s="2">
        <f t="shared" si="217"/>
        <v>100.75128107813683</v>
      </c>
      <c r="DR102" s="2">
        <f t="shared" si="218"/>
        <v>96.59633822108745</v>
      </c>
      <c r="DS102" s="2">
        <f t="shared" si="219"/>
        <v>92.676089648105105</v>
      </c>
      <c r="DT102" s="2">
        <f t="shared" si="220"/>
        <v>88.991641036374631</v>
      </c>
      <c r="DU102" s="2">
        <f t="shared" si="221"/>
        <v>85.541514624651896</v>
      </c>
      <c r="DV102" s="2">
        <f t="shared" si="222"/>
        <v>82.321671494811824</v>
      </c>
      <c r="DW102" s="2">
        <f t="shared" si="223"/>
        <v>79.325561644405283</v>
      </c>
      <c r="DX102" s="2">
        <f t="shared" si="224"/>
        <v>76.544201047471361</v>
      </c>
      <c r="DY102" s="2">
        <f t="shared" si="225"/>
        <v>73.9662746282021</v>
      </c>
      <c r="DZ102" s="2">
        <f t="shared" si="226"/>
        <v>71.578263821250246</v>
      </c>
      <c r="EA102" s="2">
        <f t="shared" si="227"/>
        <v>69.364597164794148</v>
      </c>
      <c r="EB102" s="2">
        <f t="shared" si="228"/>
        <v>67.307822168597497</v>
      </c>
      <c r="EC102" s="2">
        <f t="shared" si="229"/>
        <v>65.388796519337077</v>
      </c>
      <c r="ED102" s="2">
        <f t="shared" si="230"/>
        <v>63.586896529077912</v>
      </c>
      <c r="EE102" s="2">
        <f t="shared" si="231"/>
        <v>61.880240599247294</v>
      </c>
      <c r="EF102" s="2">
        <f t="shared" si="232"/>
        <v>60.245925360860625</v>
      </c>
      <c r="EG102" s="2">
        <f t="shared" si="233"/>
        <v>58.660272061002971</v>
      </c>
      <c r="EH102" s="2">
        <f t="shared" si="234"/>
        <v>57.09908069458632</v>
      </c>
    </row>
    <row r="103" spans="5:138">
      <c r="E103" s="18"/>
      <c r="F103" s="37">
        <v>3.3333333333333335E-3</v>
      </c>
      <c r="G103" s="2">
        <f t="shared" si="139"/>
        <v>300</v>
      </c>
      <c r="H103" s="2">
        <f t="shared" si="235"/>
        <v>289.38593600154053</v>
      </c>
      <c r="I103" s="2">
        <f t="shared" si="236"/>
        <v>278.81536485305895</v>
      </c>
      <c r="J103" s="2">
        <f t="shared" si="237"/>
        <v>268.33129219841885</v>
      </c>
      <c r="K103" s="2">
        <f t="shared" si="238"/>
        <v>257.97575507539807</v>
      </c>
      <c r="L103" s="2">
        <f t="shared" si="239"/>
        <v>247.78935204382526</v>
      </c>
      <c r="M103" s="2">
        <f t="shared" si="240"/>
        <v>237.8107903972649</v>
      </c>
      <c r="N103" s="2">
        <f t="shared" si="241"/>
        <v>228.07645576842282</v>
      </c>
      <c r="O103" s="2">
        <f t="shared" si="242"/>
        <v>218.62000911967755</v>
      </c>
      <c r="P103" s="2">
        <f t="shared" si="243"/>
        <v>209.47201572462316</v>
      </c>
      <c r="Q103" s="2">
        <f t="shared" si="244"/>
        <v>200.65961030220848</v>
      </c>
      <c r="R103" s="2">
        <f t="shared" si="245"/>
        <v>192.20620197099822</v>
      </c>
      <c r="S103" s="2">
        <f t="shared" si="246"/>
        <v>184.13122215695722</v>
      </c>
      <c r="T103" s="2">
        <f t="shared" si="247"/>
        <v>176.44991802414305</v>
      </c>
      <c r="U103" s="2">
        <f t="shared" si="248"/>
        <v>169.17319341403328</v>
      </c>
      <c r="V103" s="2">
        <f t="shared" si="249"/>
        <v>162.30749868603738</v>
      </c>
      <c r="W103" s="2">
        <f t="shared" si="250"/>
        <v>155.85477025869545</v>
      </c>
      <c r="X103" s="2">
        <f t="shared" si="251"/>
        <v>149.8124200671453</v>
      </c>
      <c r="Y103" s="2">
        <f t="shared" si="252"/>
        <v>144.1733745857259</v>
      </c>
      <c r="Z103" s="2">
        <f t="shared" si="253"/>
        <v>138.92616252213378</v>
      </c>
      <c r="AA103" s="2">
        <f t="shared" si="254"/>
        <v>134.05504977723518</v>
      </c>
      <c r="AB103" s="2">
        <f t="shared" si="255"/>
        <v>129.54021978713749</v>
      </c>
      <c r="AC103" s="2">
        <f t="shared" si="256"/>
        <v>125.35799692487296</v>
      </c>
      <c r="AD103" s="2">
        <f t="shared" si="257"/>
        <v>121.48111024031033</v>
      </c>
      <c r="AE103" s="2">
        <f t="shared" si="258"/>
        <v>117.87899445985143</v>
      </c>
      <c r="AF103" s="2">
        <f t="shared" si="259"/>
        <v>114.51812485229161</v>
      </c>
      <c r="AG103" s="2">
        <f t="shared" si="260"/>
        <v>111.3623822933225</v>
      </c>
      <c r="AH103" s="2">
        <f t="shared" si="261"/>
        <v>108.37344462730428</v>
      </c>
      <c r="AI103" s="2">
        <f t="shared" si="262"/>
        <v>105.51120022948578</v>
      </c>
      <c r="AJ103" s="2">
        <f t="shared" si="263"/>
        <v>102.73417951291933</v>
      </c>
      <c r="AK103" s="2">
        <f t="shared" si="141"/>
        <v>100</v>
      </c>
      <c r="AL103" s="16"/>
      <c r="AM103" s="37">
        <v>3.3333333333333335E-3</v>
      </c>
      <c r="AN103" s="2">
        <f t="shared" si="142"/>
        <v>-1076400000</v>
      </c>
      <c r="AO103" s="2">
        <f t="shared" si="143"/>
        <v>-1038316738.3735274</v>
      </c>
      <c r="AP103" s="2">
        <f t="shared" si="144"/>
        <v>-1000389529.0927755</v>
      </c>
      <c r="AQ103" s="2">
        <f t="shared" si="145"/>
        <v>-962772676.4079268</v>
      </c>
      <c r="AR103" s="2">
        <f t="shared" si="146"/>
        <v>-925617009.21052825</v>
      </c>
      <c r="AS103" s="2">
        <f t="shared" si="147"/>
        <v>-889068195.13324499</v>
      </c>
      <c r="AT103" s="2">
        <f t="shared" si="148"/>
        <v>-853265115.94538641</v>
      </c>
      <c r="AU103" s="2">
        <f t="shared" si="149"/>
        <v>-818338323.2971009</v>
      </c>
      <c r="AV103" s="2">
        <f t="shared" si="150"/>
        <v>-784408592.721403</v>
      </c>
      <c r="AW103" s="2">
        <f t="shared" si="151"/>
        <v>-751585592.41994786</v>
      </c>
      <c r="AX103" s="2">
        <f t="shared" si="152"/>
        <v>-719966681.76432407</v>
      </c>
      <c r="AY103" s="2">
        <f t="shared" si="153"/>
        <v>-689635852.67194152</v>
      </c>
      <c r="AZ103" s="2">
        <f t="shared" si="154"/>
        <v>-660662825.09916246</v>
      </c>
      <c r="BA103" s="2">
        <f t="shared" si="155"/>
        <v>-633102305.87062514</v>
      </c>
      <c r="BB103" s="2">
        <f t="shared" si="156"/>
        <v>-606993417.96955144</v>
      </c>
      <c r="BC103" s="2">
        <f t="shared" si="157"/>
        <v>-582359305.28550208</v>
      </c>
      <c r="BD103" s="2">
        <f t="shared" si="158"/>
        <v>-559206915.68819928</v>
      </c>
      <c r="BE103" s="2">
        <f t="shared" si="159"/>
        <v>-537526963.20091724</v>
      </c>
      <c r="BF103" s="2">
        <f t="shared" si="160"/>
        <v>-517294068.01358443</v>
      </c>
      <c r="BG103" s="2">
        <f t="shared" si="161"/>
        <v>-498467071.12941599</v>
      </c>
      <c r="BH103" s="2">
        <f t="shared" si="162"/>
        <v>-480989518.60071981</v>
      </c>
      <c r="BI103" s="2">
        <f t="shared" si="163"/>
        <v>-464790308.59624928</v>
      </c>
      <c r="BJ103" s="2">
        <f t="shared" si="164"/>
        <v>-449784492.96644419</v>
      </c>
      <c r="BK103" s="2">
        <f t="shared" si="165"/>
        <v>-435874223.54223347</v>
      </c>
      <c r="BL103" s="2">
        <f t="shared" si="166"/>
        <v>-422949832.12194687</v>
      </c>
      <c r="BM103" s="2">
        <f t="shared" si="167"/>
        <v>-410891031.97002226</v>
      </c>
      <c r="BN103" s="2">
        <f t="shared" si="168"/>
        <v>-399568227.66844106</v>
      </c>
      <c r="BO103" s="2">
        <f t="shared" si="169"/>
        <v>-388843919.32276779</v>
      </c>
      <c r="BP103" s="2">
        <f t="shared" si="170"/>
        <v>-378574186.42339492</v>
      </c>
      <c r="BQ103" s="2">
        <f t="shared" si="171"/>
        <v>-368610236.09235454</v>
      </c>
      <c r="BR103" s="2">
        <f t="shared" si="172"/>
        <v>-358800000</v>
      </c>
      <c r="BT103" s="16"/>
      <c r="BU103" s="37">
        <v>3.3333333333333335E-3</v>
      </c>
      <c r="BV103" s="2">
        <f t="shared" si="173"/>
        <v>0.5357142857142857</v>
      </c>
      <c r="BW103" s="2">
        <f t="shared" si="174"/>
        <v>0.5357142857142857</v>
      </c>
      <c r="BX103" s="2">
        <f t="shared" si="175"/>
        <v>0.5357142857142857</v>
      </c>
      <c r="BY103" s="2">
        <f t="shared" si="176"/>
        <v>0.5357142857142857</v>
      </c>
      <c r="BZ103" s="2">
        <f t="shared" si="177"/>
        <v>0.5357142857142857</v>
      </c>
      <c r="CA103" s="2">
        <f t="shared" si="178"/>
        <v>0.5357142857142857</v>
      </c>
      <c r="CB103" s="2">
        <f t="shared" si="179"/>
        <v>0.5357142857142857</v>
      </c>
      <c r="CC103" s="2">
        <f t="shared" si="180"/>
        <v>0.5357142857142857</v>
      </c>
      <c r="CD103" s="2">
        <f t="shared" si="181"/>
        <v>0.5357142857142857</v>
      </c>
      <c r="CE103" s="2">
        <f t="shared" si="182"/>
        <v>0.5357142857142857</v>
      </c>
      <c r="CF103" s="2">
        <f t="shared" si="183"/>
        <v>0.5357142857142857</v>
      </c>
      <c r="CG103" s="2">
        <f t="shared" si="184"/>
        <v>0.5357142857142857</v>
      </c>
      <c r="CH103" s="2">
        <f t="shared" si="185"/>
        <v>0.5357142857142857</v>
      </c>
      <c r="CI103" s="2">
        <f t="shared" si="186"/>
        <v>0.5357142857142857</v>
      </c>
      <c r="CJ103" s="2">
        <f t="shared" si="187"/>
        <v>0.5357142857142857</v>
      </c>
      <c r="CK103" s="2">
        <f t="shared" si="188"/>
        <v>0.5357142857142857</v>
      </c>
      <c r="CL103" s="2">
        <f t="shared" si="189"/>
        <v>0.5357142857142857</v>
      </c>
      <c r="CM103" s="2">
        <f t="shared" si="190"/>
        <v>0.5357142857142857</v>
      </c>
      <c r="CN103" s="2">
        <f t="shared" si="191"/>
        <v>0.5357142857142857</v>
      </c>
      <c r="CO103" s="2">
        <f t="shared" si="192"/>
        <v>0.5357142857142857</v>
      </c>
      <c r="CP103" s="2">
        <f t="shared" si="193"/>
        <v>0.5357142857142857</v>
      </c>
      <c r="CQ103" s="2">
        <f t="shared" si="194"/>
        <v>0.5357142857142857</v>
      </c>
      <c r="CR103" s="2">
        <f t="shared" si="195"/>
        <v>0.5357142857142857</v>
      </c>
      <c r="CS103" s="2">
        <f t="shared" si="196"/>
        <v>0.5357142857142857</v>
      </c>
      <c r="CT103" s="2">
        <f t="shared" si="197"/>
        <v>0.5357142857142857</v>
      </c>
      <c r="CU103" s="2">
        <f t="shared" si="198"/>
        <v>0.5357142857142857</v>
      </c>
      <c r="CV103" s="2">
        <f t="shared" si="199"/>
        <v>0.5357142857142857</v>
      </c>
      <c r="CW103" s="2">
        <f t="shared" si="200"/>
        <v>0.5357142857142857</v>
      </c>
      <c r="CX103" s="2">
        <f t="shared" si="201"/>
        <v>0.5357142857142857</v>
      </c>
      <c r="CY103" s="2">
        <f t="shared" si="202"/>
        <v>0.5357142857142857</v>
      </c>
      <c r="CZ103" s="2">
        <f t="shared" si="203"/>
        <v>0.5357142857142857</v>
      </c>
      <c r="DB103" s="16"/>
      <c r="DC103" s="37">
        <v>3.3333333333333335E-3</v>
      </c>
      <c r="DD103" s="2">
        <f t="shared" si="204"/>
        <v>139.28571428571431</v>
      </c>
      <c r="DE103" s="2">
        <f t="shared" si="205"/>
        <v>134.35775600071526</v>
      </c>
      <c r="DF103" s="2">
        <f t="shared" si="206"/>
        <v>129.44999082463451</v>
      </c>
      <c r="DG103" s="2">
        <f t="shared" si="207"/>
        <v>124.58238566355162</v>
      </c>
      <c r="DH103" s="2">
        <f t="shared" si="208"/>
        <v>119.77445771357769</v>
      </c>
      <c r="DI103" s="2">
        <f t="shared" si="209"/>
        <v>115.04505630606174</v>
      </c>
      <c r="DJ103" s="2">
        <f t="shared" si="210"/>
        <v>110.41215268444442</v>
      </c>
      <c r="DK103" s="2">
        <f t="shared" si="211"/>
        <v>105.8926401781963</v>
      </c>
      <c r="DL103" s="2">
        <f t="shared" si="212"/>
        <v>101.50214709127887</v>
      </c>
      <c r="DM103" s="2">
        <f t="shared" si="213"/>
        <v>97.254864443575045</v>
      </c>
      <c r="DN103" s="2">
        <f t="shared" si="214"/>
        <v>93.16339049745396</v>
      </c>
      <c r="DO103" s="2">
        <f t="shared" si="215"/>
        <v>89.238593772249175</v>
      </c>
      <c r="DP103" s="2">
        <f t="shared" si="216"/>
        <v>85.489496001444422</v>
      </c>
      <c r="DQ103" s="2">
        <f t="shared" si="217"/>
        <v>81.923176225494984</v>
      </c>
      <c r="DR103" s="2">
        <f t="shared" si="218"/>
        <v>78.544696942229749</v>
      </c>
      <c r="DS103" s="2">
        <f t="shared" si="219"/>
        <v>75.357052961374507</v>
      </c>
      <c r="DT103" s="2">
        <f t="shared" si="220"/>
        <v>72.361143334394328</v>
      </c>
      <c r="DU103" s="2">
        <f t="shared" si="221"/>
        <v>69.555766459746025</v>
      </c>
      <c r="DV103" s="2">
        <f t="shared" si="222"/>
        <v>66.937638200515593</v>
      </c>
      <c r="DW103" s="2">
        <f t="shared" si="223"/>
        <v>64.501432599562122</v>
      </c>
      <c r="DX103" s="2">
        <f t="shared" si="224"/>
        <v>62.239844539430628</v>
      </c>
      <c r="DY103" s="2">
        <f t="shared" si="225"/>
        <v>60.143673472599552</v>
      </c>
      <c r="DZ103" s="2">
        <f t="shared" si="226"/>
        <v>58.201927143691023</v>
      </c>
      <c r="EA103" s="2">
        <f t="shared" si="227"/>
        <v>56.401944040144087</v>
      </c>
      <c r="EB103" s="2">
        <f t="shared" si="228"/>
        <v>54.729533142073876</v>
      </c>
      <c r="EC103" s="2">
        <f t="shared" si="229"/>
        <v>53.169129395706818</v>
      </c>
      <c r="ED103" s="2">
        <f t="shared" si="230"/>
        <v>51.703963207614017</v>
      </c>
      <c r="EE103" s="2">
        <f t="shared" si="231"/>
        <v>50.316242148391282</v>
      </c>
      <c r="EF103" s="2">
        <f t="shared" si="232"/>
        <v>48.987342963689827</v>
      </c>
      <c r="EG103" s="2">
        <f t="shared" si="233"/>
        <v>47.698011916712552</v>
      </c>
      <c r="EH103" s="2">
        <f t="shared" si="234"/>
        <v>46.428571428571438</v>
      </c>
    </row>
    <row r="104" spans="5:138">
      <c r="E104" s="18"/>
      <c r="F104" s="37">
        <v>0</v>
      </c>
      <c r="G104" s="2">
        <f t="shared" si="139"/>
        <v>300</v>
      </c>
      <c r="H104" s="2">
        <f t="shared" si="235"/>
        <v>289.38593600154053</v>
      </c>
      <c r="I104" s="2">
        <f t="shared" si="236"/>
        <v>278.81536485305895</v>
      </c>
      <c r="J104" s="2">
        <f t="shared" si="237"/>
        <v>268.33129219841885</v>
      </c>
      <c r="K104" s="2">
        <f t="shared" si="238"/>
        <v>257.97575507539807</v>
      </c>
      <c r="L104" s="2">
        <f t="shared" si="239"/>
        <v>247.78935204382526</v>
      </c>
      <c r="M104" s="2">
        <f t="shared" si="240"/>
        <v>237.8107903972649</v>
      </c>
      <c r="N104" s="2">
        <f t="shared" si="241"/>
        <v>228.07645576842282</v>
      </c>
      <c r="O104" s="2">
        <f t="shared" si="242"/>
        <v>218.62000911967755</v>
      </c>
      <c r="P104" s="2">
        <f t="shared" si="243"/>
        <v>209.47201572462316</v>
      </c>
      <c r="Q104" s="2">
        <f t="shared" si="244"/>
        <v>200.65961030220848</v>
      </c>
      <c r="R104" s="2">
        <f t="shared" si="245"/>
        <v>192.20620197099822</v>
      </c>
      <c r="S104" s="2">
        <f t="shared" si="246"/>
        <v>184.13122215695722</v>
      </c>
      <c r="T104" s="2">
        <f t="shared" si="247"/>
        <v>176.44991802414305</v>
      </c>
      <c r="U104" s="2">
        <f t="shared" si="248"/>
        <v>169.17319341403328</v>
      </c>
      <c r="V104" s="2">
        <f t="shared" si="249"/>
        <v>162.30749868603738</v>
      </c>
      <c r="W104" s="2">
        <f t="shared" si="250"/>
        <v>155.85477025869545</v>
      </c>
      <c r="X104" s="2">
        <f t="shared" si="251"/>
        <v>149.8124200671453</v>
      </c>
      <c r="Y104" s="2">
        <f t="shared" si="252"/>
        <v>144.1733745857259</v>
      </c>
      <c r="Z104" s="2">
        <f t="shared" si="253"/>
        <v>138.92616252213378</v>
      </c>
      <c r="AA104" s="2">
        <f t="shared" si="254"/>
        <v>134.05504977723518</v>
      </c>
      <c r="AB104" s="2">
        <f t="shared" si="255"/>
        <v>129.54021978713749</v>
      </c>
      <c r="AC104" s="2">
        <f t="shared" si="256"/>
        <v>125.35799692487296</v>
      </c>
      <c r="AD104" s="2">
        <f t="shared" si="257"/>
        <v>121.48111024031033</v>
      </c>
      <c r="AE104" s="2">
        <f t="shared" si="258"/>
        <v>117.87899445985143</v>
      </c>
      <c r="AF104" s="2">
        <f t="shared" si="259"/>
        <v>114.51812485229161</v>
      </c>
      <c r="AG104" s="2">
        <f t="shared" si="260"/>
        <v>111.3623822933225</v>
      </c>
      <c r="AH104" s="2">
        <f t="shared" si="261"/>
        <v>108.37344462730428</v>
      </c>
      <c r="AI104" s="2">
        <f t="shared" si="262"/>
        <v>105.51120022948578</v>
      </c>
      <c r="AJ104" s="2">
        <f t="shared" si="263"/>
        <v>102.73417951291933</v>
      </c>
      <c r="AK104" s="2">
        <f t="shared" si="141"/>
        <v>100</v>
      </c>
      <c r="AL104" s="16"/>
      <c r="AM104" s="37">
        <v>0</v>
      </c>
      <c r="AN104" s="2">
        <f t="shared" si="142"/>
        <v>-1076400000</v>
      </c>
      <c r="AO104" s="2">
        <f t="shared" si="143"/>
        <v>-1038316738.3735274</v>
      </c>
      <c r="AP104" s="2">
        <f t="shared" si="144"/>
        <v>-1000389529.0927755</v>
      </c>
      <c r="AQ104" s="2">
        <f t="shared" si="145"/>
        <v>-962772676.4079268</v>
      </c>
      <c r="AR104" s="2">
        <f t="shared" si="146"/>
        <v>-925617009.21052825</v>
      </c>
      <c r="AS104" s="2">
        <f t="shared" si="147"/>
        <v>-889068195.13324499</v>
      </c>
      <c r="AT104" s="2">
        <f t="shared" si="148"/>
        <v>-853265115.94538641</v>
      </c>
      <c r="AU104" s="2">
        <f t="shared" si="149"/>
        <v>-818338323.2971009</v>
      </c>
      <c r="AV104" s="2">
        <f t="shared" si="150"/>
        <v>-784408592.721403</v>
      </c>
      <c r="AW104" s="2">
        <f t="shared" si="151"/>
        <v>-751585592.41994786</v>
      </c>
      <c r="AX104" s="2">
        <f t="shared" si="152"/>
        <v>-719966681.76432407</v>
      </c>
      <c r="AY104" s="2">
        <f t="shared" si="153"/>
        <v>-689635852.67194152</v>
      </c>
      <c r="AZ104" s="2">
        <f t="shared" si="154"/>
        <v>-660662825.09916246</v>
      </c>
      <c r="BA104" s="2">
        <f t="shared" si="155"/>
        <v>-633102305.87062514</v>
      </c>
      <c r="BB104" s="2">
        <f t="shared" si="156"/>
        <v>-606993417.96955144</v>
      </c>
      <c r="BC104" s="2">
        <f t="shared" si="157"/>
        <v>-582359305.28550208</v>
      </c>
      <c r="BD104" s="2">
        <f t="shared" si="158"/>
        <v>-559206915.68819928</v>
      </c>
      <c r="BE104" s="2">
        <f t="shared" si="159"/>
        <v>-537526963.20091724</v>
      </c>
      <c r="BF104" s="2">
        <f t="shared" si="160"/>
        <v>-517294068.01358443</v>
      </c>
      <c r="BG104" s="2">
        <f t="shared" si="161"/>
        <v>-498467071.12941599</v>
      </c>
      <c r="BH104" s="2">
        <f t="shared" si="162"/>
        <v>-480989518.60071981</v>
      </c>
      <c r="BI104" s="2">
        <f t="shared" si="163"/>
        <v>-464790308.59624928</v>
      </c>
      <c r="BJ104" s="2">
        <f t="shared" si="164"/>
        <v>-449784492.96644419</v>
      </c>
      <c r="BK104" s="2">
        <f t="shared" si="165"/>
        <v>-435874223.54223347</v>
      </c>
      <c r="BL104" s="2">
        <f t="shared" si="166"/>
        <v>-422949832.12194687</v>
      </c>
      <c r="BM104" s="2">
        <f t="shared" si="167"/>
        <v>-410891031.97002226</v>
      </c>
      <c r="BN104" s="2">
        <f t="shared" si="168"/>
        <v>-399568227.66844106</v>
      </c>
      <c r="BO104" s="2">
        <f t="shared" si="169"/>
        <v>-388843919.32276779</v>
      </c>
      <c r="BP104" s="2">
        <f t="shared" si="170"/>
        <v>-378574186.42339492</v>
      </c>
      <c r="BQ104" s="2">
        <f t="shared" si="171"/>
        <v>-368610236.09235454</v>
      </c>
      <c r="BR104" s="2">
        <f t="shared" si="172"/>
        <v>-358800000</v>
      </c>
      <c r="BT104" s="16"/>
      <c r="BU104" s="37">
        <v>0</v>
      </c>
      <c r="BV104" s="2">
        <v>1</v>
      </c>
      <c r="BW104" s="2">
        <v>1</v>
      </c>
      <c r="BX104" s="2">
        <v>1</v>
      </c>
      <c r="BY104" s="2">
        <v>1</v>
      </c>
      <c r="BZ104" s="2">
        <v>1</v>
      </c>
      <c r="CA104" s="2">
        <v>1</v>
      </c>
      <c r="CB104" s="2">
        <v>1</v>
      </c>
      <c r="CC104" s="2">
        <v>1</v>
      </c>
      <c r="CD104" s="2">
        <v>1</v>
      </c>
      <c r="CE104" s="2">
        <v>1</v>
      </c>
      <c r="CF104" s="2">
        <v>1</v>
      </c>
      <c r="CG104" s="2">
        <v>1</v>
      </c>
      <c r="CH104" s="2">
        <v>1</v>
      </c>
      <c r="CI104" s="2">
        <v>1</v>
      </c>
      <c r="CJ104" s="2">
        <v>1</v>
      </c>
      <c r="CK104" s="2">
        <v>1</v>
      </c>
      <c r="CL104" s="2">
        <v>1</v>
      </c>
      <c r="CM104" s="2">
        <v>1</v>
      </c>
      <c r="CN104" s="2">
        <v>1</v>
      </c>
      <c r="CO104" s="2">
        <v>1</v>
      </c>
      <c r="CP104" s="2">
        <v>1</v>
      </c>
      <c r="CQ104" s="2">
        <v>1</v>
      </c>
      <c r="CR104" s="2">
        <v>1</v>
      </c>
      <c r="CS104" s="2">
        <v>1</v>
      </c>
      <c r="CT104" s="2">
        <v>1</v>
      </c>
      <c r="CU104" s="2">
        <v>1</v>
      </c>
      <c r="CV104" s="2">
        <v>1</v>
      </c>
      <c r="CW104" s="2">
        <v>1</v>
      </c>
      <c r="CX104" s="2">
        <v>1</v>
      </c>
      <c r="CY104" s="2">
        <v>1</v>
      </c>
      <c r="CZ104" s="2">
        <v>1</v>
      </c>
      <c r="DB104" s="16"/>
      <c r="DC104" s="37">
        <v>0</v>
      </c>
      <c r="DD104" s="2">
        <v>0</v>
      </c>
      <c r="DE104" s="2">
        <v>0</v>
      </c>
      <c r="DF104" s="2">
        <v>0</v>
      </c>
      <c r="DG104" s="2">
        <v>0</v>
      </c>
      <c r="DH104" s="2">
        <v>0</v>
      </c>
      <c r="DI104" s="2">
        <v>0</v>
      </c>
      <c r="DJ104" s="2">
        <v>0</v>
      </c>
      <c r="DK104" s="2">
        <v>0</v>
      </c>
      <c r="DL104" s="2">
        <v>0</v>
      </c>
      <c r="DM104" s="2">
        <v>0</v>
      </c>
      <c r="DN104" s="2">
        <v>0</v>
      </c>
      <c r="DO104" s="2">
        <v>0</v>
      </c>
      <c r="DP104" s="2">
        <v>0</v>
      </c>
      <c r="DQ104" s="2">
        <v>0</v>
      </c>
      <c r="DR104" s="2">
        <v>0</v>
      </c>
      <c r="DS104" s="2">
        <v>0</v>
      </c>
      <c r="DT104" s="2">
        <v>0</v>
      </c>
      <c r="DU104" s="2">
        <v>0</v>
      </c>
      <c r="DV104" s="2">
        <v>0</v>
      </c>
      <c r="DW104" s="2">
        <v>0</v>
      </c>
      <c r="DX104" s="2">
        <v>0</v>
      </c>
      <c r="DY104" s="2">
        <v>0</v>
      </c>
      <c r="DZ104" s="2">
        <v>0</v>
      </c>
      <c r="EA104" s="2">
        <v>0</v>
      </c>
      <c r="EB104" s="2">
        <v>0</v>
      </c>
      <c r="EC104" s="2">
        <v>0</v>
      </c>
      <c r="ED104" s="2">
        <v>0</v>
      </c>
      <c r="EE104" s="2">
        <v>0</v>
      </c>
      <c r="EF104" s="2">
        <v>0</v>
      </c>
      <c r="EG104" s="2">
        <v>0</v>
      </c>
      <c r="EH104" s="2">
        <v>0</v>
      </c>
    </row>
    <row r="105" spans="5:138">
      <c r="AM105" s="7"/>
    </row>
    <row r="106" spans="5:138">
      <c r="AM106" s="7"/>
    </row>
    <row r="107" spans="5:138">
      <c r="AM107" s="7"/>
    </row>
    <row r="108" spans="5:138">
      <c r="AM108" s="7"/>
    </row>
    <row r="109" spans="5:138">
      <c r="AM109" s="7"/>
    </row>
    <row r="110" spans="5:138">
      <c r="AM110" s="7"/>
    </row>
    <row r="111" spans="5:138">
      <c r="AM111" s="7"/>
    </row>
    <row r="112" spans="5:138">
      <c r="AM112" s="7"/>
    </row>
    <row r="113" spans="39:39">
      <c r="AM113" s="7"/>
    </row>
    <row r="114" spans="39:39">
      <c r="AM114" s="7"/>
    </row>
    <row r="115" spans="39:39">
      <c r="AM115" s="7"/>
    </row>
    <row r="116" spans="39:39">
      <c r="AM116" s="7"/>
    </row>
    <row r="117" spans="39:39">
      <c r="AM117" s="7"/>
    </row>
    <row r="118" spans="39:39">
      <c r="AM118" s="7"/>
    </row>
    <row r="119" spans="39:39">
      <c r="AM119" s="7"/>
    </row>
    <row r="120" spans="39:39">
      <c r="AM120" s="7"/>
    </row>
    <row r="121" spans="39:39">
      <c r="AM121" s="7"/>
    </row>
    <row r="122" spans="39:39">
      <c r="AM122" s="7"/>
    </row>
    <row r="123" spans="39:39">
      <c r="AM123" s="7"/>
    </row>
    <row r="124" spans="39:39">
      <c r="AM124" s="7"/>
    </row>
    <row r="125" spans="39:39">
      <c r="AM125" s="7"/>
    </row>
    <row r="126" spans="39:39">
      <c r="AM126" s="7"/>
    </row>
    <row r="127" spans="39:39">
      <c r="AM127" s="7"/>
    </row>
    <row r="128" spans="39:39">
      <c r="AM128" s="7"/>
    </row>
    <row r="129" spans="39:39">
      <c r="AM129" s="7"/>
    </row>
    <row r="130" spans="39:39">
      <c r="AM130" s="7"/>
    </row>
    <row r="131" spans="39:39">
      <c r="AM131" s="7"/>
    </row>
    <row r="132" spans="39:39">
      <c r="AM132" s="7"/>
    </row>
    <row r="133" spans="39:39">
      <c r="AM133" s="7"/>
    </row>
    <row r="134" spans="39:39">
      <c r="AM134" s="7"/>
    </row>
    <row r="135" spans="39:39">
      <c r="AM135" s="7"/>
    </row>
    <row r="136" spans="39:39">
      <c r="AM136" s="7"/>
    </row>
    <row r="137" spans="39:39">
      <c r="AM137" s="7"/>
    </row>
    <row r="138" spans="39:39">
      <c r="AM138" s="7"/>
    </row>
    <row r="139" spans="39:39">
      <c r="AM139" s="7"/>
    </row>
    <row r="140" spans="39:39">
      <c r="AM140" s="7"/>
    </row>
    <row r="141" spans="39:39">
      <c r="AM141" s="7"/>
    </row>
    <row r="142" spans="39:39">
      <c r="AM142" s="7"/>
    </row>
    <row r="143" spans="39:39">
      <c r="AM143" s="7"/>
    </row>
    <row r="144" spans="39:39">
      <c r="AM144" s="7"/>
    </row>
    <row r="145" spans="39:39">
      <c r="AM145" s="7"/>
    </row>
    <row r="146" spans="39:39">
      <c r="AM146" s="7"/>
    </row>
    <row r="147" spans="39:39">
      <c r="AM147" s="7"/>
    </row>
    <row r="148" spans="39:39">
      <c r="AM148" s="7"/>
    </row>
    <row r="149" spans="39:39">
      <c r="AM149" s="7"/>
    </row>
    <row r="150" spans="39:39">
      <c r="AM150" s="7"/>
    </row>
    <row r="151" spans="39:39">
      <c r="AM151" s="7"/>
    </row>
    <row r="152" spans="39:39">
      <c r="AM152" s="7"/>
    </row>
    <row r="153" spans="39:39">
      <c r="AM153" s="7"/>
    </row>
    <row r="154" spans="39:39">
      <c r="AM154" s="7"/>
    </row>
    <row r="155" spans="39:39">
      <c r="AM155" s="7"/>
    </row>
    <row r="156" spans="39:39">
      <c r="AM156" s="7"/>
    </row>
    <row r="157" spans="39:39">
      <c r="AM157" s="7"/>
    </row>
    <row r="158" spans="39:39">
      <c r="AM158" s="7"/>
    </row>
    <row r="159" spans="39:39">
      <c r="AM159" s="7"/>
    </row>
    <row r="160" spans="39:39">
      <c r="AM160" s="7"/>
    </row>
    <row r="161" spans="39:39">
      <c r="AM161" s="7"/>
    </row>
    <row r="162" spans="39:39">
      <c r="AM162" s="7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1">
      <colorScale>
        <cfvo type="min" val="0"/>
        <cfvo type="percentile" val="50"/>
        <cfvo type="max" val="0"/>
        <color rgb="FF0070C0"/>
        <color rgb="FFFFEB84"/>
        <color rgb="FFFF0000"/>
      </colorScale>
    </cfRule>
    <cfRule type="colorScale" priority="2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2Д Неявный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Александр Шаронов</cp:lastModifiedBy>
  <dcterms:created xsi:type="dcterms:W3CDTF">2021-02-19T10:02:37Z</dcterms:created>
  <dcterms:modified xsi:type="dcterms:W3CDTF">2021-04-01T13:37:03Z</dcterms:modified>
</cp:coreProperties>
</file>